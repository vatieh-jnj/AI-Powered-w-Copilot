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jnj-my.sharepoint.com/personal/vatieh_its_jnj_com/Documents/Documents/CoPilot Project/"/>
    </mc:Choice>
  </mc:AlternateContent>
  <xr:revisionPtr revIDLastSave="0" documentId="8_{E1DAFC3B-02B0-422D-AC46-155F9AE3FA38}" xr6:coauthVersionLast="47" xr6:coauthVersionMax="47" xr10:uidLastSave="{00000000-0000-0000-0000-000000000000}"/>
  <bookViews>
    <workbookView xWindow="-110" yWindow="-110" windowWidth="19420" windowHeight="11500" tabRatio="839" activeTab="1" xr2:uid="{00000000-000D-0000-FFFF-FFFF00000000}"/>
  </bookViews>
  <sheets>
    <sheet name="Dataset" sheetId="1" r:id="rId1"/>
    <sheet name="Analysis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9" l="1"/>
  <c r="G16" i="9"/>
  <c r="F16" i="9"/>
  <c r="E16" i="9"/>
  <c r="D16" i="9"/>
  <c r="C16" i="9"/>
  <c r="B16" i="9"/>
  <c r="H15" i="9"/>
  <c r="G15" i="9"/>
  <c r="F15" i="9"/>
  <c r="E15" i="9"/>
  <c r="D15" i="9"/>
  <c r="C15" i="9"/>
  <c r="B15" i="9"/>
  <c r="H14" i="9"/>
  <c r="G14" i="9"/>
  <c r="F14" i="9"/>
  <c r="E14" i="9"/>
  <c r="D14" i="9"/>
  <c r="C14" i="9"/>
  <c r="B14" i="9"/>
  <c r="H13" i="9"/>
  <c r="G13" i="9"/>
  <c r="F13" i="9"/>
  <c r="E13" i="9"/>
  <c r="D13" i="9"/>
  <c r="C13" i="9"/>
  <c r="B13" i="9"/>
  <c r="H12" i="9"/>
  <c r="G12" i="9"/>
  <c r="F12" i="9"/>
  <c r="E12" i="9"/>
  <c r="D12" i="9"/>
  <c r="C12" i="9"/>
  <c r="B12" i="9"/>
  <c r="H8" i="9"/>
  <c r="H7" i="9"/>
  <c r="H6" i="9"/>
  <c r="H5" i="9"/>
  <c r="E7" i="9"/>
  <c r="D7" i="9"/>
  <c r="C7" i="9"/>
  <c r="B7" i="9"/>
  <c r="E6" i="9"/>
  <c r="D6" i="9"/>
  <c r="C6" i="9"/>
  <c r="B6" i="9"/>
  <c r="E5" i="9"/>
  <c r="D5" i="9"/>
  <c r="C5" i="9"/>
  <c r="B5" i="9"/>
</calcChain>
</file>

<file path=xl/sharedStrings.xml><?xml version="1.0" encoding="utf-8"?>
<sst xmlns="http://schemas.openxmlformats.org/spreadsheetml/2006/main" count="348" uniqueCount="157">
  <si>
    <t>Component Number</t>
  </si>
  <si>
    <t>Supplier Name</t>
  </si>
  <si>
    <t>Delivery Timeline (Days)</t>
  </si>
  <si>
    <t>Raw Material Cost ($)</t>
  </si>
  <si>
    <t>Risk Level</t>
  </si>
  <si>
    <t>Mitigation Plan</t>
  </si>
  <si>
    <t>Defect Rate (%)</t>
  </si>
  <si>
    <t>Production Usage Rate (Units/Day)</t>
  </si>
  <si>
    <t>Supplier Reliability (%)</t>
  </si>
  <si>
    <t>Inventory Level (Units)</t>
  </si>
  <si>
    <t>Reorder Point (Units)</t>
  </si>
  <si>
    <t>Lead Time Variance (Days)</t>
  </si>
  <si>
    <t>Expedite Shipping Cost ($)</t>
  </si>
  <si>
    <t>Order Size (Units)</t>
  </si>
  <si>
    <t>On-Time Delivery Rate (%)</t>
  </si>
  <si>
    <t>Backorder Volume (Units)</t>
  </si>
  <si>
    <t>Quality Inspection Pass Rate (%)</t>
  </si>
  <si>
    <t>Forecast Accuracy (%)</t>
  </si>
  <si>
    <t>Safety Stock (Units)</t>
  </si>
  <si>
    <t>COAT890</t>
  </si>
  <si>
    <t>CARB123</t>
  </si>
  <si>
    <t>BIND567</t>
  </si>
  <si>
    <t>COMP010</t>
  </si>
  <si>
    <t>COMP011</t>
  </si>
  <si>
    <t>COMP012</t>
  </si>
  <si>
    <t>COMP013</t>
  </si>
  <si>
    <t>COMP014</t>
  </si>
  <si>
    <t>COMP015</t>
  </si>
  <si>
    <t>COMP016</t>
  </si>
  <si>
    <t>COMP017</t>
  </si>
  <si>
    <t>COMP018</t>
  </si>
  <si>
    <t>COMP019</t>
  </si>
  <si>
    <t>COMP020</t>
  </si>
  <si>
    <t>COMP021</t>
  </si>
  <si>
    <t>COMP022</t>
  </si>
  <si>
    <t>COMP023</t>
  </si>
  <si>
    <t>COMP024</t>
  </si>
  <si>
    <t>COMP025</t>
  </si>
  <si>
    <t>COMP026</t>
  </si>
  <si>
    <t>COMP027</t>
  </si>
  <si>
    <t>COMP028</t>
  </si>
  <si>
    <t>COMP029</t>
  </si>
  <si>
    <t>COMP030</t>
  </si>
  <si>
    <t>COMP031</t>
  </si>
  <si>
    <t>COMP032</t>
  </si>
  <si>
    <t>COMP033</t>
  </si>
  <si>
    <t>COMP034</t>
  </si>
  <si>
    <t>COMP035</t>
  </si>
  <si>
    <t>COMP036</t>
  </si>
  <si>
    <t>COMP037</t>
  </si>
  <si>
    <t>COMP038</t>
  </si>
  <si>
    <t>COMP039</t>
  </si>
  <si>
    <t>COMP040</t>
  </si>
  <si>
    <t>COMP041</t>
  </si>
  <si>
    <t>COMP042</t>
  </si>
  <si>
    <t>COMP043</t>
  </si>
  <si>
    <t>COMP044</t>
  </si>
  <si>
    <t>COMP045</t>
  </si>
  <si>
    <t>COMP046</t>
  </si>
  <si>
    <t>COMP047</t>
  </si>
  <si>
    <t>COMP048</t>
  </si>
  <si>
    <t>COMP049</t>
  </si>
  <si>
    <t>GlobalChem</t>
  </si>
  <si>
    <t>RawMatPlus</t>
  </si>
  <si>
    <t>EcoSupply</t>
  </si>
  <si>
    <t>NextGen Pharma</t>
  </si>
  <si>
    <t>PrimeLogistics</t>
  </si>
  <si>
    <t>Low</t>
  </si>
  <si>
    <t>Medium</t>
  </si>
  <si>
    <t>High</t>
  </si>
  <si>
    <t>Source Alternative</t>
  </si>
  <si>
    <t>Review Contract</t>
  </si>
  <si>
    <t>Negotiate Terms</t>
  </si>
  <si>
    <t>Expedite Shipping</t>
  </si>
  <si>
    <t>Increase Inventory</t>
  </si>
  <si>
    <t>2024-12-04</t>
  </si>
  <si>
    <t>2024-12-15</t>
  </si>
  <si>
    <t>2024-04-28</t>
  </si>
  <si>
    <t>2024-05-21</t>
  </si>
  <si>
    <t>2024-07-21</t>
  </si>
  <si>
    <t>2024-03-21</t>
  </si>
  <si>
    <t>2024-02-10</t>
  </si>
  <si>
    <t>2024-09-01</t>
  </si>
  <si>
    <t>2024-11-16</t>
  </si>
  <si>
    <t>2024-09-15</t>
  </si>
  <si>
    <t>2024-02-17</t>
  </si>
  <si>
    <t>2024-06-14</t>
  </si>
  <si>
    <t>2024-03-09</t>
  </si>
  <si>
    <t>2024-07-02</t>
  </si>
  <si>
    <t>2024-01-24</t>
  </si>
  <si>
    <t>2024-10-20</t>
  </si>
  <si>
    <t>2024-06-25</t>
  </si>
  <si>
    <t>2024-08-27</t>
  </si>
  <si>
    <t>2024-10-07</t>
  </si>
  <si>
    <t>2024-11-09</t>
  </si>
  <si>
    <t>2024-01-10</t>
  </si>
  <si>
    <t>2024-03-14</t>
  </si>
  <si>
    <t>2024-05-27</t>
  </si>
  <si>
    <t>2024-05-06</t>
  </si>
  <si>
    <t>2024-01-17</t>
  </si>
  <si>
    <t>2024-06-13</t>
  </si>
  <si>
    <t>2024-10-21</t>
  </si>
  <si>
    <t>2024-04-05</t>
  </si>
  <si>
    <t>2024-07-08</t>
  </si>
  <si>
    <t>2024-07-27</t>
  </si>
  <si>
    <t>2024-04-09</t>
  </si>
  <si>
    <t>2024-04-27</t>
  </si>
  <si>
    <t>2024-10-08</t>
  </si>
  <si>
    <t>2024-10-22</t>
  </si>
  <si>
    <t>2024-02-16</t>
  </si>
  <si>
    <t>2024-11-04</t>
  </si>
  <si>
    <t>2024-11-13</t>
  </si>
  <si>
    <t>2024-08-15</t>
  </si>
  <si>
    <t>2024-08-07</t>
  </si>
  <si>
    <t>2024-09-25</t>
  </si>
  <si>
    <t>2024-12-18</t>
  </si>
  <si>
    <t>2024-12-19</t>
  </si>
  <si>
    <t>2024-05-23</t>
  </si>
  <si>
    <t>2024-02-13</t>
  </si>
  <si>
    <t>2024-04-25</t>
  </si>
  <si>
    <t>2024-03-08</t>
  </si>
  <si>
    <t>2024-11-19</t>
  </si>
  <si>
    <t>2024-05-15</t>
  </si>
  <si>
    <t>Supply Chain Expected Date</t>
  </si>
  <si>
    <t>Supplier</t>
  </si>
  <si>
    <t>Delivery Timeline</t>
  </si>
  <si>
    <t>Supply Chain Performance Analysis</t>
  </si>
  <si>
    <t>Component Count</t>
  </si>
  <si>
    <t>Avg Delivery Timeline (Days)</t>
  </si>
  <si>
    <t>Avg On-Time Delivery Rate (%)</t>
  </si>
  <si>
    <t>Avg Lead Time Variance (Days)</t>
  </si>
  <si>
    <t>Delayed Components Insight</t>
  </si>
  <si>
    <t>Value</t>
  </si>
  <si>
    <t>Formula Basis</t>
  </si>
  <si>
    <t>Notes</t>
  </si>
  <si>
    <t>Average Delivery Timeline (Days)</t>
  </si>
  <si>
    <t>Delayed Component Count</t>
  </si>
  <si>
    <t>Avg On-Time Rate for Delayed (%)</t>
  </si>
  <si>
    <t>Worst Delayed Component On-Time Rate (%)</t>
  </si>
  <si>
    <t>Overall average timeline</t>
  </si>
  <si>
    <t>Delivery timeline &gt; overall average</t>
  </si>
  <si>
    <t>AVERAGEIF over delayed components</t>
  </si>
  <si>
    <t>MINIFS over delayed components</t>
  </si>
  <si>
    <t>Benchmark threshold</t>
  </si>
  <si>
    <t>Components above benchmark</t>
  </si>
  <si>
    <t>Key requested metric</t>
  </si>
  <si>
    <t>Lowest on-time among delayed</t>
  </si>
  <si>
    <t>Lead Time Variance</t>
  </si>
  <si>
    <t>Orders</t>
  </si>
  <si>
    <t>Avg Reliability (%)</t>
  </si>
  <si>
    <t>Avg On-Time Rate (%)</t>
  </si>
  <si>
    <t>Avg Defect Rate (%)</t>
  </si>
  <si>
    <t>Avg Inspection Pass (%)</t>
  </si>
  <si>
    <t>Avg Backorder Volume</t>
  </si>
  <si>
    <t>High Risk Orders</t>
  </si>
  <si>
    <t>Source: Dataset sheet (50 components/orders). Delayed = delivery timeline greater than overall average (13.6 days).</t>
  </si>
  <si>
    <t>Delayed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</si>
</sst>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/>
    <xf numFmtId="0" fontId="1" fillId="0" borderId="1" xfId="0" applyFont="1" applyBorder="1" applyAlignment="1">
      <alignment horizontal="center" vertical="top" wrapText="1"/>
    </xf>
    <xf numFmtId="44" fontId="1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/>
    <xf numFmtId="0" fontId="3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wrapText="1"/>
    </xf>
    <xf numFmtId="3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wrapText="1"/>
    </xf>
    <xf numFmtId="0" fontId="0" fillId="0" borderId="0" xfId="0" applyAlignment="1"/>
    <xf numFmtId="0" fontId="4" fillId="3" borderId="0" xfId="0" applyFont="1" applyFill="1" applyAlignment="1">
      <alignment wrapText="1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19"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</dxf>
    <dxf>
      <numFmt numFmtId="164" formatCode="0.0"/>
    </dxf>
    <dxf>
      <numFmt numFmtId="3" formatCode="#,##0"/>
    </dxf>
    <dxf>
      <numFmt numFmtId="165" formatCode="#,##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3" formatCode="#,##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3" formatCode="#,##0"/>
    </dxf>
    <dxf>
      <font>
        <b/>
        <color rgb="FFFFFFFF"/>
      </font>
      <fill>
        <patternFill patternType="solid">
          <fgColor indexed="64"/>
          <bgColor rgb="FF5B9BD5"/>
        </patternFill>
      </fill>
      <alignment horizontal="center"/>
    </dxf>
    <dxf>
      <font>
        <b/>
        <color rgb="FFFFFFFF"/>
      </font>
      <fill>
        <patternFill patternType="solid">
          <fgColor indexed="64"/>
          <bgColor rgb="FF5B9BD5"/>
        </patternFill>
      </fill>
      <alignment horizontal="center"/>
    </dxf>
    <dxf>
      <font>
        <b/>
        <color rgb="FFFFFFFF"/>
      </font>
      <fill>
        <patternFill patternType="solid">
          <fgColor indexed="64"/>
          <bgColor rgb="FF5B9BD5"/>
        </patternFill>
      </fill>
      <alignment horizontal="center"/>
    </dxf>
    <dxf>
      <font>
        <b/>
        <color rgb="FFFFFFFF"/>
      </font>
      <fill>
        <patternFill patternType="solid">
          <fgColor indexed="64"/>
          <bgColor rgb="FF5B9BD5"/>
        </patternFill>
      </fill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Delivery Timeline by Risk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</c:f>
              <c:strCache>
                <c:ptCount val="1"/>
                <c:pt idx="0">
                  <c:v>Component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Analysis!$A$5:$A$7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Analysis!$B$5:$B$7</c:f>
              <c:numCache>
                <c:formatCode>#,##0</c:formatCode>
                <c:ptCount val="3"/>
                <c:pt idx="0">
                  <c:v>12</c:v>
                </c:pt>
                <c:pt idx="1">
                  <c:v>24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E-4BB7-B09F-985650A1114E}"/>
            </c:ext>
          </c:extLst>
        </c:ser>
        <c:ser>
          <c:idx val="1"/>
          <c:order val="1"/>
          <c:tx>
            <c:strRef>
              <c:f>Analysis!$C$4</c:f>
              <c:strCache>
                <c:ptCount val="1"/>
                <c:pt idx="0">
                  <c:v>Avg Delivery Timeline 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Analysis!$A$5:$A$7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Analysis!$C$5:$C$7</c:f>
              <c:numCache>
                <c:formatCode>0.0</c:formatCode>
                <c:ptCount val="3"/>
                <c:pt idx="0">
                  <c:v>11.25</c:v>
                </c:pt>
                <c:pt idx="1">
                  <c:v>15.125</c:v>
                </c:pt>
                <c:pt idx="2">
                  <c:v>12.857142857142858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E-4BB7-B09F-985650A11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5550559"/>
        <c:axId val="1445549119"/>
      </c:barChart>
      <c:catAx>
        <c:axId val="1445550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549119"/>
        <c:crosses val="autoZero"/>
        <c:auto val="1"/>
        <c:lblAlgn val="ctr"/>
        <c:lblOffset val="100"/>
        <c:noMultiLvlLbl val="0"/>
      </c:catAx>
      <c:valAx>
        <c:axId val="144554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55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Supplier Performance: Reliability vs On-Time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Analysis!$A$12:$A$16</c:f>
              <c:strCache>
                <c:ptCount val="5"/>
                <c:pt idx="0">
                  <c:v>EcoSupply</c:v>
                </c:pt>
                <c:pt idx="1">
                  <c:v>GlobalChem</c:v>
                </c:pt>
                <c:pt idx="2">
                  <c:v>NextGen Pharma</c:v>
                </c:pt>
                <c:pt idx="3">
                  <c:v>PrimeLogistics</c:v>
                </c:pt>
                <c:pt idx="4">
                  <c:v>RawMatPlus</c:v>
                </c:pt>
              </c:strCache>
            </c:strRef>
          </c:cat>
          <c:val>
            <c:numRef>
              <c:f>Analysis!$B$12:$B$16</c:f>
              <c:numCache>
                <c:formatCode>#,##0</c:formatCode>
                <c:ptCount val="5"/>
                <c:pt idx="0">
                  <c:v>10</c:v>
                </c:pt>
                <c:pt idx="1">
                  <c:v>9</c:v>
                </c:pt>
                <c:pt idx="2">
                  <c:v>11</c:v>
                </c:pt>
                <c:pt idx="3">
                  <c:v>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2-472A-A5DE-0C2709D30D91}"/>
            </c:ext>
          </c:extLst>
        </c:ser>
        <c:ser>
          <c:idx val="1"/>
          <c:order val="1"/>
          <c:tx>
            <c:strRef>
              <c:f>Analysis!$C$11</c:f>
              <c:strCache>
                <c:ptCount val="1"/>
                <c:pt idx="0">
                  <c:v>Avg Reliability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Analysis!$A$12:$A$16</c:f>
              <c:strCache>
                <c:ptCount val="5"/>
                <c:pt idx="0">
                  <c:v>EcoSupply</c:v>
                </c:pt>
                <c:pt idx="1">
                  <c:v>GlobalChem</c:v>
                </c:pt>
                <c:pt idx="2">
                  <c:v>NextGen Pharma</c:v>
                </c:pt>
                <c:pt idx="3">
                  <c:v>PrimeLogistics</c:v>
                </c:pt>
                <c:pt idx="4">
                  <c:v>RawMatPlus</c:v>
                </c:pt>
              </c:strCache>
            </c:strRef>
          </c:cat>
          <c:val>
            <c:numRef>
              <c:f>Analysis!$C$12:$C$16</c:f>
              <c:numCache>
                <c:formatCode>0.0</c:formatCode>
                <c:ptCount val="5"/>
                <c:pt idx="0">
                  <c:v>93.2</c:v>
                </c:pt>
                <c:pt idx="1">
                  <c:v>92.555555555555557</c:v>
                </c:pt>
                <c:pt idx="2">
                  <c:v>91.818181818181813</c:v>
                </c:pt>
                <c:pt idx="3">
                  <c:v>91.428571428571431</c:v>
                </c:pt>
                <c:pt idx="4">
                  <c:v>92.84615384615384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B2-472A-A5DE-0C2709D30D91}"/>
            </c:ext>
          </c:extLst>
        </c:ser>
        <c:ser>
          <c:idx val="2"/>
          <c:order val="2"/>
          <c:tx>
            <c:strRef>
              <c:f>Analysis!$D$11</c:f>
              <c:strCache>
                <c:ptCount val="1"/>
                <c:pt idx="0">
                  <c:v>Avg On-Time Rate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Analysis!$A$12:$A$16</c:f>
              <c:strCache>
                <c:ptCount val="5"/>
                <c:pt idx="0">
                  <c:v>EcoSupply</c:v>
                </c:pt>
                <c:pt idx="1">
                  <c:v>GlobalChem</c:v>
                </c:pt>
                <c:pt idx="2">
                  <c:v>NextGen Pharma</c:v>
                </c:pt>
                <c:pt idx="3">
                  <c:v>PrimeLogistics</c:v>
                </c:pt>
                <c:pt idx="4">
                  <c:v>RawMatPlus</c:v>
                </c:pt>
              </c:strCache>
            </c:strRef>
          </c:cat>
          <c:val>
            <c:numRef>
              <c:f>Analysis!$D$12:$D$16</c:f>
              <c:numCache>
                <c:formatCode>0.0</c:formatCode>
                <c:ptCount val="5"/>
                <c:pt idx="0">
                  <c:v>87.9</c:v>
                </c:pt>
                <c:pt idx="1">
                  <c:v>90.888888888888886</c:v>
                </c:pt>
                <c:pt idx="2">
                  <c:v>91.545454545454547</c:v>
                </c:pt>
                <c:pt idx="3">
                  <c:v>88</c:v>
                </c:pt>
                <c:pt idx="4">
                  <c:v>90.615384615384613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B2-472A-A5DE-0C2709D30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9699919"/>
        <c:axId val="1879705679"/>
      </c:barChart>
      <c:catAx>
        <c:axId val="187969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Supplier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705679"/>
        <c:crosses val="autoZero"/>
        <c:auto val="1"/>
        <c:lblAlgn val="ctr"/>
        <c:lblOffset val="100"/>
        <c:noMultiLvlLbl val="0"/>
      </c:catAx>
      <c:valAx>
        <c:axId val="187970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69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4" name="Chart_AvgDeliveryByRisk">
          <a:extLst>
            <a:ext uri="{FF2B5EF4-FFF2-40B4-BE49-F238E27FC236}">
              <a16:creationId xmlns:a16="http://schemas.microsoft.com/office/drawing/2014/main" id="{A58DA30D-1629-9C4C-E87E-C2043639D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21</xdr:row>
      <xdr:rowOff>0</xdr:rowOff>
    </xdr:from>
    <xdr:to>
      <xdr:col>21</xdr:col>
      <xdr:colOff>0</xdr:colOff>
      <xdr:row>40</xdr:row>
      <xdr:rowOff>0</xdr:rowOff>
    </xdr:to>
    <xdr:graphicFrame macro="">
      <xdr:nvGraphicFramePr>
        <xdr:cNvPr id="5" name="Chart_SupplierPerformance">
          <a:extLst>
            <a:ext uri="{FF2B5EF4-FFF2-40B4-BE49-F238E27FC236}">
              <a16:creationId xmlns:a16="http://schemas.microsoft.com/office/drawing/2014/main" id="{5990C7F6-EACF-4857-8A6F-E1B9FFB22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9CA239-DA0C-412F-A3D8-6F2C990D3ABE}" name="AvgDeliveryByRisk" displayName="AvgDeliveryByRisk" ref="A4:E7" totalsRowShown="0" headerRowDxfId="18">
  <autoFilter ref="A4:E7" xr:uid="{0D9CA239-DA0C-412F-A3D8-6F2C990D3ABE}"/>
  <tableColumns count="5">
    <tableColumn id="1" xr3:uid="{4E9CACA9-D364-4673-8A2B-3A906354F8FA}" name="Risk Level"/>
    <tableColumn id="2" xr3:uid="{DFEBE9DB-A498-4069-AAB3-FD22CF1FCB8D}" name="Component Count" dataDxfId="14">
      <calculatedColumnFormula>COUNTIF(Dataset!$E$2:$E$51,A5)</calculatedColumnFormula>
    </tableColumn>
    <tableColumn id="3" xr3:uid="{631CDF45-38BB-4601-99C3-D68FC52FCD84}" name="Avg Delivery Timeline (Days)" dataDxfId="13">
      <calculatedColumnFormula>AVERAGEIF(Dataset!$E$2:$E$51,A5,Dataset!$C$2:$C$51)</calculatedColumnFormula>
    </tableColumn>
    <tableColumn id="4" xr3:uid="{9B02D04A-0D51-43AF-8527-34BCFFA884FE}" name="Avg On-Time Delivery Rate (%)" dataDxfId="12">
      <calculatedColumnFormula>AVERAGEIF(Dataset!$E$2:$E$51,A5,Dataset!$P$2:$P$51)</calculatedColumnFormula>
    </tableColumn>
    <tableColumn id="5" xr3:uid="{4071BEDB-B335-4C71-A3AC-2AABD51A69E2}" name="Avg Lead Time Variance (Days)" dataDxfId="11">
      <calculatedColumnFormula>AVERAGEIF(Dataset!$E$2:$E$51,A5,Dataset!$M$2:$M$51)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65C804-9B9C-4BE9-9F18-44320EB0373C}" name="DelayedComponentsSummary" displayName="DelayedComponentsSummary" ref="G4:J8" totalsRowShown="0" headerRowDxfId="17">
  <autoFilter ref="G4:J8" xr:uid="{4965C804-9B9C-4BE9-9F18-44320EB0373C}"/>
  <tableColumns count="4">
    <tableColumn id="1" xr3:uid="{48261CB1-24CA-477D-B6B3-A4F2385F4A34}" name="Delayed Components Insight"/>
    <tableColumn id="2" xr3:uid="{6A5A45C0-5F3F-471B-8087-6AEB730C6C75}" name="Value" dataDxfId="10"/>
    <tableColumn id="3" xr3:uid="{E74D4C30-A719-478A-8973-83E128858821}" name="Formula Basis"/>
    <tableColumn id="4" xr3:uid="{E444B7AA-E8C4-42B8-A3F6-9998CE6869B4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9C0D10-2A6F-4988-AC79-4014EBB2894A}" name="SupplierPerformanceBreakdown" displayName="SupplierPerformanceBreakdown" ref="A11:H16" totalsRowShown="0" headerRowDxfId="16">
  <autoFilter ref="A11:H16" xr:uid="{E49C0D10-2A6F-4988-AC79-4014EBB2894A}"/>
  <tableColumns count="8">
    <tableColumn id="1" xr3:uid="{7669FB75-B4D9-4187-920A-C2C8843C6060}" name="Supplier"/>
    <tableColumn id="2" xr3:uid="{0E2FB995-2EB1-4F5B-834D-7D85DB388FF9}" name="Orders" dataDxfId="9">
      <calculatedColumnFormula>COUNTIF(Dataset!$B$2:$B$51,A12)</calculatedColumnFormula>
    </tableColumn>
    <tableColumn id="3" xr3:uid="{ADCD3930-38FF-4BCD-B988-9AF5FD56CC4D}" name="Avg Reliability (%)" dataDxfId="8">
      <calculatedColumnFormula>AVERAGEIF(Dataset!$B$2:$B$51,A12,Dataset!$J$2:$J$51)</calculatedColumnFormula>
    </tableColumn>
    <tableColumn id="4" xr3:uid="{53A960F7-1A49-40A2-9766-3673635EA9C8}" name="Avg On-Time Rate (%)" dataDxfId="7">
      <calculatedColumnFormula>AVERAGEIF(Dataset!$B$2:$B$51,A12,Dataset!$P$2:$P$51)</calculatedColumnFormula>
    </tableColumn>
    <tableColumn id="5" xr3:uid="{59CB2877-6BCC-4472-BE15-DC97973F1571}" name="Avg Defect Rate (%)" dataDxfId="6">
      <calculatedColumnFormula>AVERAGEIF(Dataset!$B$2:$B$51,A12,Dataset!$H$2:$H$51)</calculatedColumnFormula>
    </tableColumn>
    <tableColumn id="6" xr3:uid="{A4BF5E02-7EF2-46A4-BFD7-862C93EB03B2}" name="Avg Inspection Pass (%)" dataDxfId="5">
      <calculatedColumnFormula>AVERAGEIF(Dataset!$B$2:$B$51,A12,Dataset!$R$2:$R$51)</calculatedColumnFormula>
    </tableColumn>
    <tableColumn id="7" xr3:uid="{802F6447-8AEC-45DE-88F2-5C1A902FBD08}" name="Avg Backorder Volume" dataDxfId="4">
      <calculatedColumnFormula>AVERAGEIF(Dataset!$B$2:$B$51,A12,Dataset!$Q$2:$Q$51)</calculatedColumnFormula>
    </tableColumn>
    <tableColumn id="8" xr3:uid="{5EFCD99C-75AB-4308-9BCD-E8B7658073D2}" name="High Risk Orders" dataDxfId="3">
      <calculatedColumnFormula>COUNTIFS(Dataset!$B$2:$B$51,A12,Dataset!$E$2:$E$51,"High")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276454-AB5E-4A59-8675-F1668A4EF5B0}" name="DelayedComponentDetails" displayName="DelayedComponentDetails" ref="A20:F31" totalsRowShown="0" headerRowDxfId="15">
  <autoFilter ref="A20:F31" xr:uid="{70276454-AB5E-4A59-8675-F1668A4EF5B0}"/>
  <tableColumns count="6">
    <tableColumn id="1" xr3:uid="{3AD2D18E-06F4-4D8A-ADA9-326A4124F85A}" name="Delayed Component"/>
    <tableColumn id="2" xr3:uid="{CBF0EA3A-6C06-4755-BADD-8A7CAF475CDE}" name="Supplier"/>
    <tableColumn id="3" xr3:uid="{BC00CBAA-E32D-4A77-AD73-776F785ADED0}" name="Risk Level"/>
    <tableColumn id="4" xr3:uid="{D4CF9421-5BC4-4649-8209-E1BB09AF36A2}" name="Delivery Timeline" dataDxfId="2"/>
    <tableColumn id="5" xr3:uid="{A95C714F-207D-451E-8453-7519944E0DD2}" name="On-Time Delivery Rate (%)" dataDxfId="1"/>
    <tableColumn id="6" xr3:uid="{5C714E26-CFB2-4EC2-9D5F-F1089FA9B0EB}" name="Lead Time Varian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workbookViewId="0">
      <selection activeCell="J12" sqref="J12"/>
    </sheetView>
  </sheetViews>
  <sheetFormatPr defaultColWidth="13" defaultRowHeight="14.5" x14ac:dyDescent="0.35"/>
  <cols>
    <col min="4" max="4" width="13" style="1"/>
  </cols>
  <sheetData>
    <row r="1" spans="1:20" s="4" customFormat="1" ht="43.5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123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5">
      <c r="A2" t="s">
        <v>21</v>
      </c>
      <c r="B2" t="s">
        <v>64</v>
      </c>
      <c r="C2">
        <v>64</v>
      </c>
      <c r="D2" s="1">
        <v>1309</v>
      </c>
      <c r="E2" t="s">
        <v>68</v>
      </c>
      <c r="F2" t="s">
        <v>72</v>
      </c>
      <c r="G2" t="s">
        <v>76</v>
      </c>
      <c r="H2">
        <v>2.91</v>
      </c>
      <c r="I2">
        <v>1496</v>
      </c>
      <c r="J2">
        <v>99</v>
      </c>
      <c r="K2">
        <v>25500</v>
      </c>
      <c r="L2">
        <v>580</v>
      </c>
      <c r="M2">
        <v>26</v>
      </c>
      <c r="N2">
        <v>1100</v>
      </c>
      <c r="O2">
        <v>2698</v>
      </c>
      <c r="P2">
        <v>99</v>
      </c>
      <c r="Q2">
        <v>453</v>
      </c>
      <c r="R2">
        <v>95</v>
      </c>
      <c r="S2">
        <v>98</v>
      </c>
      <c r="T2">
        <v>398</v>
      </c>
    </row>
    <row r="3" spans="1:20" x14ac:dyDescent="0.35">
      <c r="A3" t="s">
        <v>20</v>
      </c>
      <c r="B3" t="s">
        <v>63</v>
      </c>
      <c r="C3">
        <v>62</v>
      </c>
      <c r="D3" s="1">
        <v>1112</v>
      </c>
      <c r="E3" t="s">
        <v>68</v>
      </c>
      <c r="F3" t="s">
        <v>71</v>
      </c>
      <c r="G3" t="s">
        <v>76</v>
      </c>
      <c r="H3">
        <v>4.41</v>
      </c>
      <c r="I3">
        <v>1277</v>
      </c>
      <c r="J3">
        <v>97</v>
      </c>
      <c r="K3">
        <v>16530</v>
      </c>
      <c r="L3">
        <v>1214</v>
      </c>
      <c r="M3">
        <v>24</v>
      </c>
      <c r="N3">
        <v>1196</v>
      </c>
      <c r="O3">
        <v>1569</v>
      </c>
      <c r="P3">
        <v>84</v>
      </c>
      <c r="Q3">
        <v>110</v>
      </c>
      <c r="R3">
        <v>95</v>
      </c>
      <c r="S3">
        <v>83</v>
      </c>
      <c r="T3">
        <v>347</v>
      </c>
    </row>
    <row r="4" spans="1:20" x14ac:dyDescent="0.35">
      <c r="A4" t="s">
        <v>20</v>
      </c>
      <c r="B4" t="s">
        <v>63</v>
      </c>
      <c r="C4">
        <v>10</v>
      </c>
      <c r="D4" s="1">
        <v>1108</v>
      </c>
      <c r="E4" t="s">
        <v>69</v>
      </c>
      <c r="F4" t="s">
        <v>73</v>
      </c>
      <c r="G4" t="s">
        <v>79</v>
      </c>
      <c r="H4">
        <v>2.56</v>
      </c>
      <c r="I4">
        <v>771</v>
      </c>
      <c r="J4">
        <v>87</v>
      </c>
      <c r="K4">
        <v>20100</v>
      </c>
      <c r="L4">
        <v>1262</v>
      </c>
      <c r="M4">
        <v>8</v>
      </c>
      <c r="N4">
        <v>1603</v>
      </c>
      <c r="O4">
        <v>1538</v>
      </c>
      <c r="P4">
        <v>98</v>
      </c>
      <c r="Q4">
        <v>219</v>
      </c>
      <c r="R4">
        <v>99</v>
      </c>
      <c r="S4">
        <v>92</v>
      </c>
      <c r="T4">
        <v>485</v>
      </c>
    </row>
    <row r="5" spans="1:20" x14ac:dyDescent="0.35">
      <c r="A5" t="s">
        <v>20</v>
      </c>
      <c r="B5" t="s">
        <v>63</v>
      </c>
      <c r="C5">
        <v>12</v>
      </c>
      <c r="D5" s="1">
        <v>1046</v>
      </c>
      <c r="E5" t="s">
        <v>67</v>
      </c>
      <c r="F5" t="s">
        <v>72</v>
      </c>
      <c r="G5" t="s">
        <v>80</v>
      </c>
      <c r="H5">
        <v>1.22</v>
      </c>
      <c r="I5">
        <v>1196</v>
      </c>
      <c r="J5">
        <v>91</v>
      </c>
      <c r="K5">
        <v>34420</v>
      </c>
      <c r="L5">
        <v>565</v>
      </c>
      <c r="M5">
        <v>6</v>
      </c>
      <c r="N5">
        <v>1281</v>
      </c>
      <c r="O5">
        <v>2220</v>
      </c>
      <c r="P5">
        <v>94</v>
      </c>
      <c r="Q5">
        <v>270</v>
      </c>
      <c r="R5">
        <v>94</v>
      </c>
      <c r="S5">
        <v>97</v>
      </c>
      <c r="T5">
        <v>740</v>
      </c>
    </row>
    <row r="6" spans="1:20" x14ac:dyDescent="0.35">
      <c r="A6" t="s">
        <v>20</v>
      </c>
      <c r="B6" t="s">
        <v>63</v>
      </c>
      <c r="C6">
        <v>9</v>
      </c>
      <c r="D6" s="1">
        <v>1393</v>
      </c>
      <c r="E6" t="s">
        <v>69</v>
      </c>
      <c r="F6" t="s">
        <v>74</v>
      </c>
      <c r="G6" t="s">
        <v>81</v>
      </c>
      <c r="H6">
        <v>2.46</v>
      </c>
      <c r="I6">
        <v>964</v>
      </c>
      <c r="J6">
        <v>85</v>
      </c>
      <c r="K6">
        <v>49060</v>
      </c>
      <c r="L6">
        <v>1239</v>
      </c>
      <c r="M6">
        <v>4</v>
      </c>
      <c r="N6">
        <v>1525</v>
      </c>
      <c r="O6">
        <v>2560</v>
      </c>
      <c r="P6">
        <v>85</v>
      </c>
      <c r="Q6">
        <v>259</v>
      </c>
      <c r="R6">
        <v>91</v>
      </c>
      <c r="S6">
        <v>89</v>
      </c>
      <c r="T6">
        <v>730</v>
      </c>
    </row>
    <row r="7" spans="1:20" x14ac:dyDescent="0.35">
      <c r="A7" t="s">
        <v>19</v>
      </c>
      <c r="B7" t="s">
        <v>62</v>
      </c>
      <c r="C7">
        <v>60</v>
      </c>
      <c r="D7" s="1">
        <v>1125</v>
      </c>
      <c r="E7" t="s">
        <v>67</v>
      </c>
      <c r="F7" t="s">
        <v>70</v>
      </c>
      <c r="G7" t="s">
        <v>75</v>
      </c>
      <c r="H7">
        <v>3.55</v>
      </c>
      <c r="I7">
        <v>1413</v>
      </c>
      <c r="J7">
        <v>93</v>
      </c>
      <c r="K7">
        <v>13560</v>
      </c>
      <c r="L7">
        <v>1104</v>
      </c>
      <c r="M7">
        <v>22</v>
      </c>
      <c r="N7">
        <v>565</v>
      </c>
      <c r="O7">
        <v>1061</v>
      </c>
      <c r="P7">
        <v>82</v>
      </c>
      <c r="Q7">
        <v>111</v>
      </c>
      <c r="R7">
        <v>93</v>
      </c>
      <c r="S7">
        <v>96</v>
      </c>
      <c r="T7">
        <v>608</v>
      </c>
    </row>
    <row r="8" spans="1:20" x14ac:dyDescent="0.35">
      <c r="A8" t="s">
        <v>19</v>
      </c>
      <c r="B8" t="s">
        <v>62</v>
      </c>
      <c r="C8">
        <v>15</v>
      </c>
      <c r="D8" s="1">
        <v>1116</v>
      </c>
      <c r="E8" t="s">
        <v>68</v>
      </c>
      <c r="F8" t="s">
        <v>72</v>
      </c>
      <c r="G8" t="s">
        <v>77</v>
      </c>
      <c r="H8">
        <v>0.95</v>
      </c>
      <c r="I8">
        <v>784</v>
      </c>
      <c r="J8">
        <v>92</v>
      </c>
      <c r="K8">
        <v>36030</v>
      </c>
      <c r="L8">
        <v>1354</v>
      </c>
      <c r="M8">
        <v>5</v>
      </c>
      <c r="N8">
        <v>833</v>
      </c>
      <c r="O8">
        <v>1758</v>
      </c>
      <c r="P8">
        <v>91</v>
      </c>
      <c r="Q8">
        <v>107</v>
      </c>
      <c r="R8">
        <v>94</v>
      </c>
      <c r="S8">
        <v>82</v>
      </c>
      <c r="T8">
        <v>611</v>
      </c>
    </row>
    <row r="9" spans="1:20" x14ac:dyDescent="0.35">
      <c r="A9" t="s">
        <v>19</v>
      </c>
      <c r="B9" t="s">
        <v>63</v>
      </c>
      <c r="C9">
        <v>8</v>
      </c>
      <c r="D9" s="1">
        <v>1083</v>
      </c>
      <c r="E9" t="s">
        <v>68</v>
      </c>
      <c r="F9" t="s">
        <v>73</v>
      </c>
      <c r="G9" t="s">
        <v>78</v>
      </c>
      <c r="H9">
        <v>3.6</v>
      </c>
      <c r="I9">
        <v>724</v>
      </c>
      <c r="J9">
        <v>95</v>
      </c>
      <c r="K9">
        <v>23280</v>
      </c>
      <c r="L9">
        <v>1363</v>
      </c>
      <c r="M9">
        <v>0</v>
      </c>
      <c r="N9">
        <v>969</v>
      </c>
      <c r="O9">
        <v>2683</v>
      </c>
      <c r="P9">
        <v>81</v>
      </c>
      <c r="Q9">
        <v>412</v>
      </c>
      <c r="R9">
        <v>95</v>
      </c>
      <c r="S9">
        <v>92</v>
      </c>
      <c r="T9">
        <v>437</v>
      </c>
    </row>
    <row r="10" spans="1:20" x14ac:dyDescent="0.35">
      <c r="A10" t="s">
        <v>19</v>
      </c>
      <c r="B10" t="s">
        <v>65</v>
      </c>
      <c r="C10">
        <v>10</v>
      </c>
      <c r="D10" s="1">
        <v>1390</v>
      </c>
      <c r="E10" t="s">
        <v>67</v>
      </c>
      <c r="F10" t="s">
        <v>71</v>
      </c>
      <c r="G10" t="s">
        <v>82</v>
      </c>
      <c r="H10">
        <v>3.2</v>
      </c>
      <c r="I10">
        <v>1000</v>
      </c>
      <c r="J10">
        <v>85</v>
      </c>
      <c r="K10">
        <v>14580</v>
      </c>
      <c r="L10">
        <v>1451</v>
      </c>
      <c r="M10">
        <v>5</v>
      </c>
      <c r="N10">
        <v>1129</v>
      </c>
      <c r="O10">
        <v>1490</v>
      </c>
      <c r="P10">
        <v>81</v>
      </c>
      <c r="Q10">
        <v>123</v>
      </c>
      <c r="R10">
        <v>99</v>
      </c>
      <c r="S10">
        <v>82</v>
      </c>
      <c r="T10">
        <v>343</v>
      </c>
    </row>
    <row r="11" spans="1:20" x14ac:dyDescent="0.35">
      <c r="A11" t="s">
        <v>19</v>
      </c>
      <c r="B11" t="s">
        <v>62</v>
      </c>
      <c r="C11">
        <v>13</v>
      </c>
      <c r="D11" s="1">
        <v>1392</v>
      </c>
      <c r="E11" t="s">
        <v>67</v>
      </c>
      <c r="F11" t="s">
        <v>70</v>
      </c>
      <c r="G11" t="s">
        <v>83</v>
      </c>
      <c r="H11">
        <v>4.76</v>
      </c>
      <c r="I11">
        <v>669</v>
      </c>
      <c r="J11">
        <v>89</v>
      </c>
      <c r="K11">
        <v>31610</v>
      </c>
      <c r="L11">
        <v>1393</v>
      </c>
      <c r="M11">
        <v>9</v>
      </c>
      <c r="N11">
        <v>1366</v>
      </c>
      <c r="O11">
        <v>2975</v>
      </c>
      <c r="P11">
        <v>86</v>
      </c>
      <c r="Q11">
        <v>475</v>
      </c>
      <c r="R11">
        <v>98</v>
      </c>
      <c r="S11">
        <v>86</v>
      </c>
      <c r="T11">
        <v>665</v>
      </c>
    </row>
    <row r="12" spans="1:20" x14ac:dyDescent="0.35">
      <c r="A12" t="s">
        <v>22</v>
      </c>
      <c r="B12" t="s">
        <v>66</v>
      </c>
      <c r="C12">
        <v>15</v>
      </c>
      <c r="D12" s="1">
        <v>1332</v>
      </c>
      <c r="E12" t="s">
        <v>68</v>
      </c>
      <c r="F12" t="s">
        <v>73</v>
      </c>
      <c r="G12" t="s">
        <v>84</v>
      </c>
      <c r="H12">
        <v>1.04</v>
      </c>
      <c r="I12">
        <v>730</v>
      </c>
      <c r="J12">
        <v>86</v>
      </c>
      <c r="K12">
        <v>23840</v>
      </c>
      <c r="L12">
        <v>521</v>
      </c>
      <c r="M12">
        <v>9</v>
      </c>
      <c r="N12">
        <v>1634</v>
      </c>
      <c r="O12">
        <v>1471</v>
      </c>
      <c r="P12">
        <v>98</v>
      </c>
      <c r="Q12">
        <v>112</v>
      </c>
      <c r="R12">
        <v>90</v>
      </c>
      <c r="S12">
        <v>82</v>
      </c>
      <c r="T12">
        <v>662</v>
      </c>
    </row>
    <row r="13" spans="1:20" x14ac:dyDescent="0.35">
      <c r="A13" t="s">
        <v>23</v>
      </c>
      <c r="B13" t="s">
        <v>65</v>
      </c>
      <c r="C13">
        <v>6</v>
      </c>
      <c r="D13" s="1">
        <v>1463</v>
      </c>
      <c r="E13" t="s">
        <v>67</v>
      </c>
      <c r="F13" t="s">
        <v>74</v>
      </c>
      <c r="G13" t="s">
        <v>85</v>
      </c>
      <c r="H13">
        <v>1.57</v>
      </c>
      <c r="I13">
        <v>1185</v>
      </c>
      <c r="J13">
        <v>92</v>
      </c>
      <c r="K13">
        <v>18770</v>
      </c>
      <c r="L13">
        <v>1052</v>
      </c>
      <c r="M13">
        <v>2</v>
      </c>
      <c r="N13">
        <v>1981</v>
      </c>
      <c r="O13">
        <v>2915</v>
      </c>
      <c r="P13">
        <v>98</v>
      </c>
      <c r="Q13">
        <v>295</v>
      </c>
      <c r="R13">
        <v>97</v>
      </c>
      <c r="S13">
        <v>87</v>
      </c>
      <c r="T13">
        <v>701</v>
      </c>
    </row>
    <row r="14" spans="1:20" x14ac:dyDescent="0.35">
      <c r="A14" t="s">
        <v>24</v>
      </c>
      <c r="B14" t="s">
        <v>66</v>
      </c>
      <c r="C14">
        <v>8</v>
      </c>
      <c r="D14" s="1">
        <v>1048</v>
      </c>
      <c r="E14" t="s">
        <v>67</v>
      </c>
      <c r="F14" t="s">
        <v>73</v>
      </c>
      <c r="G14" t="s">
        <v>86</v>
      </c>
      <c r="H14">
        <v>2.35</v>
      </c>
      <c r="I14">
        <v>1384</v>
      </c>
      <c r="J14">
        <v>96</v>
      </c>
      <c r="K14">
        <v>12210</v>
      </c>
      <c r="L14">
        <v>1189</v>
      </c>
      <c r="M14">
        <v>10</v>
      </c>
      <c r="N14">
        <v>1823</v>
      </c>
      <c r="O14">
        <v>1201</v>
      </c>
      <c r="P14">
        <v>81</v>
      </c>
      <c r="Q14">
        <v>206</v>
      </c>
      <c r="R14">
        <v>95</v>
      </c>
      <c r="S14">
        <v>83</v>
      </c>
      <c r="T14">
        <v>427</v>
      </c>
    </row>
    <row r="15" spans="1:20" x14ac:dyDescent="0.35">
      <c r="A15" t="s">
        <v>25</v>
      </c>
      <c r="B15" t="s">
        <v>65</v>
      </c>
      <c r="C15">
        <v>13</v>
      </c>
      <c r="D15" s="1">
        <v>1229</v>
      </c>
      <c r="E15" t="s">
        <v>67</v>
      </c>
      <c r="F15" t="s">
        <v>73</v>
      </c>
      <c r="G15" t="s">
        <v>87</v>
      </c>
      <c r="H15">
        <v>2.58</v>
      </c>
      <c r="I15">
        <v>1395</v>
      </c>
      <c r="J15">
        <v>99</v>
      </c>
      <c r="K15">
        <v>13080</v>
      </c>
      <c r="L15">
        <v>953</v>
      </c>
      <c r="M15">
        <v>8</v>
      </c>
      <c r="N15">
        <v>700</v>
      </c>
      <c r="O15">
        <v>1103</v>
      </c>
      <c r="P15">
        <v>97</v>
      </c>
      <c r="Q15">
        <v>428</v>
      </c>
      <c r="R15">
        <v>90</v>
      </c>
      <c r="S15">
        <v>82</v>
      </c>
      <c r="T15">
        <v>774</v>
      </c>
    </row>
    <row r="16" spans="1:20" x14ac:dyDescent="0.35">
      <c r="A16" t="s">
        <v>26</v>
      </c>
      <c r="B16" t="s">
        <v>65</v>
      </c>
      <c r="C16">
        <v>11</v>
      </c>
      <c r="D16" s="1">
        <v>1248</v>
      </c>
      <c r="E16" t="s">
        <v>68</v>
      </c>
      <c r="F16" t="s">
        <v>70</v>
      </c>
      <c r="G16" t="s">
        <v>88</v>
      </c>
      <c r="H16">
        <v>1.24</v>
      </c>
      <c r="I16">
        <v>502</v>
      </c>
      <c r="J16">
        <v>91</v>
      </c>
      <c r="K16">
        <v>20860</v>
      </c>
      <c r="L16">
        <v>1448</v>
      </c>
      <c r="M16">
        <v>7</v>
      </c>
      <c r="N16">
        <v>1084</v>
      </c>
      <c r="O16">
        <v>1866</v>
      </c>
      <c r="P16">
        <v>97</v>
      </c>
      <c r="Q16">
        <v>338</v>
      </c>
      <c r="R16">
        <v>97</v>
      </c>
      <c r="S16">
        <v>84</v>
      </c>
      <c r="T16">
        <v>397</v>
      </c>
    </row>
    <row r="17" spans="1:20" x14ac:dyDescent="0.35">
      <c r="A17" t="s">
        <v>27</v>
      </c>
      <c r="B17" t="s">
        <v>65</v>
      </c>
      <c r="C17">
        <v>5</v>
      </c>
      <c r="D17" s="1">
        <v>1296</v>
      </c>
      <c r="E17" t="s">
        <v>69</v>
      </c>
      <c r="F17" t="s">
        <v>71</v>
      </c>
      <c r="G17" t="s">
        <v>89</v>
      </c>
      <c r="H17">
        <v>1.91</v>
      </c>
      <c r="I17">
        <v>551</v>
      </c>
      <c r="J17">
        <v>94</v>
      </c>
      <c r="K17">
        <v>29520</v>
      </c>
      <c r="L17">
        <v>1014</v>
      </c>
      <c r="M17">
        <v>8</v>
      </c>
      <c r="N17">
        <v>822</v>
      </c>
      <c r="O17">
        <v>1116</v>
      </c>
      <c r="P17">
        <v>96</v>
      </c>
      <c r="Q17">
        <v>41</v>
      </c>
      <c r="R17">
        <v>92</v>
      </c>
      <c r="S17">
        <v>82</v>
      </c>
      <c r="T17">
        <v>604</v>
      </c>
    </row>
    <row r="18" spans="1:20" x14ac:dyDescent="0.35">
      <c r="A18" t="s">
        <v>28</v>
      </c>
      <c r="B18" t="s">
        <v>65</v>
      </c>
      <c r="C18">
        <v>11</v>
      </c>
      <c r="D18" s="1">
        <v>1061</v>
      </c>
      <c r="E18" t="s">
        <v>69</v>
      </c>
      <c r="F18" t="s">
        <v>70</v>
      </c>
      <c r="G18" t="s">
        <v>90</v>
      </c>
      <c r="H18">
        <v>0.68</v>
      </c>
      <c r="I18">
        <v>583</v>
      </c>
      <c r="J18">
        <v>91</v>
      </c>
      <c r="K18">
        <v>36920</v>
      </c>
      <c r="L18">
        <v>1097</v>
      </c>
      <c r="M18">
        <v>9</v>
      </c>
      <c r="N18">
        <v>1570</v>
      </c>
      <c r="O18">
        <v>1647</v>
      </c>
      <c r="P18">
        <v>88</v>
      </c>
      <c r="Q18">
        <v>104</v>
      </c>
      <c r="R18">
        <v>95</v>
      </c>
      <c r="S18">
        <v>87</v>
      </c>
      <c r="T18">
        <v>435</v>
      </c>
    </row>
    <row r="19" spans="1:20" x14ac:dyDescent="0.35">
      <c r="A19" t="s">
        <v>29</v>
      </c>
      <c r="B19" t="s">
        <v>65</v>
      </c>
      <c r="C19">
        <v>15</v>
      </c>
      <c r="D19" s="1">
        <v>1330</v>
      </c>
      <c r="E19" t="s">
        <v>68</v>
      </c>
      <c r="F19" t="s">
        <v>73</v>
      </c>
      <c r="G19" t="s">
        <v>91</v>
      </c>
      <c r="H19">
        <v>4.71</v>
      </c>
      <c r="I19">
        <v>509</v>
      </c>
      <c r="J19">
        <v>92</v>
      </c>
      <c r="K19">
        <v>35440</v>
      </c>
      <c r="L19">
        <v>1076</v>
      </c>
      <c r="M19">
        <v>1</v>
      </c>
      <c r="N19">
        <v>650</v>
      </c>
      <c r="O19">
        <v>2101</v>
      </c>
      <c r="P19">
        <v>86</v>
      </c>
      <c r="Q19">
        <v>259</v>
      </c>
      <c r="R19">
        <v>94</v>
      </c>
      <c r="S19">
        <v>84</v>
      </c>
      <c r="T19">
        <v>777</v>
      </c>
    </row>
    <row r="20" spans="1:20" x14ac:dyDescent="0.35">
      <c r="A20" t="s">
        <v>30</v>
      </c>
      <c r="B20" t="s">
        <v>62</v>
      </c>
      <c r="C20">
        <v>8</v>
      </c>
      <c r="D20" s="1">
        <v>1189</v>
      </c>
      <c r="E20" t="s">
        <v>68</v>
      </c>
      <c r="F20" t="s">
        <v>70</v>
      </c>
      <c r="G20" t="s">
        <v>92</v>
      </c>
      <c r="H20">
        <v>2.94</v>
      </c>
      <c r="I20">
        <v>809</v>
      </c>
      <c r="J20">
        <v>94</v>
      </c>
      <c r="K20">
        <v>43050</v>
      </c>
      <c r="L20">
        <v>1169</v>
      </c>
      <c r="M20">
        <v>8</v>
      </c>
      <c r="N20">
        <v>516</v>
      </c>
      <c r="O20">
        <v>2367</v>
      </c>
      <c r="P20">
        <v>97</v>
      </c>
      <c r="Q20">
        <v>153</v>
      </c>
      <c r="R20">
        <v>91</v>
      </c>
      <c r="S20">
        <v>84</v>
      </c>
      <c r="T20">
        <v>435</v>
      </c>
    </row>
    <row r="21" spans="1:20" x14ac:dyDescent="0.35">
      <c r="A21" t="s">
        <v>31</v>
      </c>
      <c r="B21" t="s">
        <v>62</v>
      </c>
      <c r="C21">
        <v>13</v>
      </c>
      <c r="D21" s="1">
        <v>1079</v>
      </c>
      <c r="E21" t="s">
        <v>68</v>
      </c>
      <c r="F21" t="s">
        <v>74</v>
      </c>
      <c r="G21" t="s">
        <v>93</v>
      </c>
      <c r="H21">
        <v>3.73</v>
      </c>
      <c r="I21">
        <v>708</v>
      </c>
      <c r="J21">
        <v>95</v>
      </c>
      <c r="K21">
        <v>35970</v>
      </c>
      <c r="L21">
        <v>1373</v>
      </c>
      <c r="M21">
        <v>4</v>
      </c>
      <c r="N21">
        <v>1535</v>
      </c>
      <c r="O21">
        <v>2000</v>
      </c>
      <c r="P21">
        <v>88</v>
      </c>
      <c r="Q21">
        <v>463</v>
      </c>
      <c r="R21">
        <v>90</v>
      </c>
      <c r="S21">
        <v>82</v>
      </c>
      <c r="T21">
        <v>624</v>
      </c>
    </row>
    <row r="22" spans="1:20" x14ac:dyDescent="0.35">
      <c r="A22" t="s">
        <v>32</v>
      </c>
      <c r="B22" t="s">
        <v>64</v>
      </c>
      <c r="C22">
        <v>5</v>
      </c>
      <c r="D22" s="1">
        <v>1001</v>
      </c>
      <c r="E22" t="s">
        <v>68</v>
      </c>
      <c r="F22" t="s">
        <v>70</v>
      </c>
      <c r="G22" t="s">
        <v>94</v>
      </c>
      <c r="H22">
        <v>1.23</v>
      </c>
      <c r="I22">
        <v>952</v>
      </c>
      <c r="J22">
        <v>93</v>
      </c>
      <c r="K22">
        <v>38900</v>
      </c>
      <c r="L22">
        <v>937</v>
      </c>
      <c r="M22">
        <v>8</v>
      </c>
      <c r="N22">
        <v>519</v>
      </c>
      <c r="O22">
        <v>1229</v>
      </c>
      <c r="P22">
        <v>82</v>
      </c>
      <c r="Q22">
        <v>483</v>
      </c>
      <c r="R22">
        <v>92</v>
      </c>
      <c r="S22">
        <v>97</v>
      </c>
      <c r="T22">
        <v>318</v>
      </c>
    </row>
    <row r="23" spans="1:20" x14ac:dyDescent="0.35">
      <c r="A23" t="s">
        <v>33</v>
      </c>
      <c r="B23" t="s">
        <v>63</v>
      </c>
      <c r="C23">
        <v>13</v>
      </c>
      <c r="D23" s="1">
        <v>1075</v>
      </c>
      <c r="E23" t="s">
        <v>68</v>
      </c>
      <c r="F23" t="s">
        <v>70</v>
      </c>
      <c r="G23" t="s">
        <v>95</v>
      </c>
      <c r="H23">
        <v>2.14</v>
      </c>
      <c r="I23">
        <v>1455</v>
      </c>
      <c r="J23">
        <v>97</v>
      </c>
      <c r="K23">
        <v>49820</v>
      </c>
      <c r="L23">
        <v>1381</v>
      </c>
      <c r="M23">
        <v>0</v>
      </c>
      <c r="N23">
        <v>1232</v>
      </c>
      <c r="O23">
        <v>1430</v>
      </c>
      <c r="P23">
        <v>87</v>
      </c>
      <c r="Q23">
        <v>341</v>
      </c>
      <c r="R23">
        <v>91</v>
      </c>
      <c r="S23">
        <v>91</v>
      </c>
      <c r="T23">
        <v>699</v>
      </c>
    </row>
    <row r="24" spans="1:20" x14ac:dyDescent="0.35">
      <c r="A24" t="s">
        <v>34</v>
      </c>
      <c r="B24" t="s">
        <v>63</v>
      </c>
      <c r="C24">
        <v>7</v>
      </c>
      <c r="D24" s="1">
        <v>1473</v>
      </c>
      <c r="E24" t="s">
        <v>67</v>
      </c>
      <c r="F24" t="s">
        <v>70</v>
      </c>
      <c r="G24" t="s">
        <v>96</v>
      </c>
      <c r="H24">
        <v>0.61</v>
      </c>
      <c r="I24">
        <v>1254</v>
      </c>
      <c r="J24">
        <v>99</v>
      </c>
      <c r="K24">
        <v>23600</v>
      </c>
      <c r="L24">
        <v>1301</v>
      </c>
      <c r="M24">
        <v>6</v>
      </c>
      <c r="N24">
        <v>1871</v>
      </c>
      <c r="O24">
        <v>2769</v>
      </c>
      <c r="P24">
        <v>87</v>
      </c>
      <c r="Q24">
        <v>136</v>
      </c>
      <c r="R24">
        <v>92</v>
      </c>
      <c r="S24">
        <v>83</v>
      </c>
      <c r="T24">
        <v>495</v>
      </c>
    </row>
    <row r="25" spans="1:20" x14ac:dyDescent="0.35">
      <c r="A25" t="s">
        <v>35</v>
      </c>
      <c r="B25" t="s">
        <v>66</v>
      </c>
      <c r="C25">
        <v>8</v>
      </c>
      <c r="D25" s="1">
        <v>1102</v>
      </c>
      <c r="E25" t="s">
        <v>68</v>
      </c>
      <c r="F25" t="s">
        <v>74</v>
      </c>
      <c r="G25" t="s">
        <v>97</v>
      </c>
      <c r="H25">
        <v>4.08</v>
      </c>
      <c r="I25">
        <v>733</v>
      </c>
      <c r="J25">
        <v>88</v>
      </c>
      <c r="K25">
        <v>10960</v>
      </c>
      <c r="L25">
        <v>1175</v>
      </c>
      <c r="M25">
        <v>3</v>
      </c>
      <c r="N25">
        <v>1316</v>
      </c>
      <c r="O25">
        <v>1672</v>
      </c>
      <c r="P25">
        <v>88</v>
      </c>
      <c r="Q25">
        <v>442</v>
      </c>
      <c r="R25">
        <v>91</v>
      </c>
      <c r="S25">
        <v>88</v>
      </c>
      <c r="T25">
        <v>479</v>
      </c>
    </row>
    <row r="26" spans="1:20" x14ac:dyDescent="0.35">
      <c r="A26" t="s">
        <v>36</v>
      </c>
      <c r="B26" t="s">
        <v>63</v>
      </c>
      <c r="C26">
        <v>10</v>
      </c>
      <c r="D26" s="1">
        <v>1480</v>
      </c>
      <c r="E26" t="s">
        <v>67</v>
      </c>
      <c r="F26" t="s">
        <v>72</v>
      </c>
      <c r="G26" t="s">
        <v>98</v>
      </c>
      <c r="H26">
        <v>3.11</v>
      </c>
      <c r="I26">
        <v>771</v>
      </c>
      <c r="J26">
        <v>85</v>
      </c>
      <c r="K26">
        <v>14440</v>
      </c>
      <c r="L26">
        <v>1110</v>
      </c>
      <c r="M26">
        <v>6</v>
      </c>
      <c r="N26">
        <v>1207</v>
      </c>
      <c r="O26">
        <v>2492</v>
      </c>
      <c r="P26">
        <v>90</v>
      </c>
      <c r="Q26">
        <v>223</v>
      </c>
      <c r="R26">
        <v>99</v>
      </c>
      <c r="S26">
        <v>96</v>
      </c>
      <c r="T26">
        <v>359</v>
      </c>
    </row>
    <row r="27" spans="1:20" x14ac:dyDescent="0.35">
      <c r="A27" t="s">
        <v>37</v>
      </c>
      <c r="B27" t="s">
        <v>63</v>
      </c>
      <c r="C27">
        <v>8</v>
      </c>
      <c r="D27" s="1">
        <v>1130</v>
      </c>
      <c r="E27" t="s">
        <v>67</v>
      </c>
      <c r="F27" t="s">
        <v>73</v>
      </c>
      <c r="G27" t="s">
        <v>99</v>
      </c>
      <c r="H27">
        <v>4.67</v>
      </c>
      <c r="I27">
        <v>1051</v>
      </c>
      <c r="J27">
        <v>95</v>
      </c>
      <c r="K27">
        <v>39460</v>
      </c>
      <c r="L27">
        <v>1462</v>
      </c>
      <c r="M27">
        <v>10</v>
      </c>
      <c r="N27">
        <v>903</v>
      </c>
      <c r="O27">
        <v>1745</v>
      </c>
      <c r="P27">
        <v>93</v>
      </c>
      <c r="Q27">
        <v>35</v>
      </c>
      <c r="R27">
        <v>95</v>
      </c>
      <c r="S27">
        <v>99</v>
      </c>
      <c r="T27">
        <v>460</v>
      </c>
    </row>
    <row r="28" spans="1:20" x14ac:dyDescent="0.35">
      <c r="A28" t="s">
        <v>38</v>
      </c>
      <c r="B28" t="s">
        <v>64</v>
      </c>
      <c r="C28">
        <v>13</v>
      </c>
      <c r="D28" s="1">
        <v>1158</v>
      </c>
      <c r="E28" t="s">
        <v>69</v>
      </c>
      <c r="F28" t="s">
        <v>73</v>
      </c>
      <c r="G28" t="s">
        <v>100</v>
      </c>
      <c r="H28">
        <v>3.64</v>
      </c>
      <c r="I28">
        <v>1067</v>
      </c>
      <c r="J28">
        <v>87</v>
      </c>
      <c r="K28">
        <v>17850</v>
      </c>
      <c r="L28">
        <v>930</v>
      </c>
      <c r="M28">
        <v>10</v>
      </c>
      <c r="N28">
        <v>1276</v>
      </c>
      <c r="O28">
        <v>2387</v>
      </c>
      <c r="P28">
        <v>85</v>
      </c>
      <c r="Q28">
        <v>315</v>
      </c>
      <c r="R28">
        <v>99</v>
      </c>
      <c r="S28">
        <v>89</v>
      </c>
      <c r="T28">
        <v>507</v>
      </c>
    </row>
    <row r="29" spans="1:20" x14ac:dyDescent="0.35">
      <c r="A29" t="s">
        <v>39</v>
      </c>
      <c r="B29" t="s">
        <v>64</v>
      </c>
      <c r="C29">
        <v>9</v>
      </c>
      <c r="D29" s="1">
        <v>1107</v>
      </c>
      <c r="E29" t="s">
        <v>68</v>
      </c>
      <c r="F29" t="s">
        <v>71</v>
      </c>
      <c r="G29" t="s">
        <v>101</v>
      </c>
      <c r="H29">
        <v>1.95</v>
      </c>
      <c r="I29">
        <v>952</v>
      </c>
      <c r="J29">
        <v>92</v>
      </c>
      <c r="K29">
        <v>37670</v>
      </c>
      <c r="L29">
        <v>718</v>
      </c>
      <c r="M29">
        <v>8</v>
      </c>
      <c r="N29">
        <v>1469</v>
      </c>
      <c r="O29">
        <v>2625</v>
      </c>
      <c r="P29">
        <v>85</v>
      </c>
      <c r="Q29">
        <v>337</v>
      </c>
      <c r="R29">
        <v>91</v>
      </c>
      <c r="S29">
        <v>89</v>
      </c>
      <c r="T29">
        <v>563</v>
      </c>
    </row>
    <row r="30" spans="1:20" x14ac:dyDescent="0.35">
      <c r="A30" t="s">
        <v>40</v>
      </c>
      <c r="B30" t="s">
        <v>62</v>
      </c>
      <c r="C30">
        <v>8</v>
      </c>
      <c r="D30" s="1">
        <v>1344</v>
      </c>
      <c r="E30" t="s">
        <v>68</v>
      </c>
      <c r="F30" t="s">
        <v>70</v>
      </c>
      <c r="G30" t="s">
        <v>102</v>
      </c>
      <c r="H30">
        <v>0.61</v>
      </c>
      <c r="I30">
        <v>750</v>
      </c>
      <c r="J30">
        <v>92</v>
      </c>
      <c r="K30">
        <v>35030</v>
      </c>
      <c r="L30">
        <v>1370</v>
      </c>
      <c r="M30">
        <v>1</v>
      </c>
      <c r="N30">
        <v>1432</v>
      </c>
      <c r="O30">
        <v>1848</v>
      </c>
      <c r="P30">
        <v>98</v>
      </c>
      <c r="Q30">
        <v>99</v>
      </c>
      <c r="R30">
        <v>96</v>
      </c>
      <c r="S30">
        <v>95</v>
      </c>
      <c r="T30">
        <v>504</v>
      </c>
    </row>
    <row r="31" spans="1:20" x14ac:dyDescent="0.35">
      <c r="A31" t="s">
        <v>41</v>
      </c>
      <c r="B31" t="s">
        <v>65</v>
      </c>
      <c r="C31">
        <v>15</v>
      </c>
      <c r="D31" s="1">
        <v>1352</v>
      </c>
      <c r="E31" t="s">
        <v>67</v>
      </c>
      <c r="F31" t="s">
        <v>72</v>
      </c>
      <c r="G31" t="s">
        <v>103</v>
      </c>
      <c r="H31">
        <v>1.29</v>
      </c>
      <c r="I31">
        <v>1480</v>
      </c>
      <c r="J31">
        <v>96</v>
      </c>
      <c r="K31">
        <v>31210</v>
      </c>
      <c r="L31">
        <v>975</v>
      </c>
      <c r="M31">
        <v>0</v>
      </c>
      <c r="N31">
        <v>1641</v>
      </c>
      <c r="O31">
        <v>1510</v>
      </c>
      <c r="P31">
        <v>83</v>
      </c>
      <c r="Q31">
        <v>233</v>
      </c>
      <c r="R31">
        <v>92</v>
      </c>
      <c r="S31">
        <v>94</v>
      </c>
      <c r="T31">
        <v>641</v>
      </c>
    </row>
    <row r="32" spans="1:20" x14ac:dyDescent="0.35">
      <c r="A32" t="s">
        <v>42</v>
      </c>
      <c r="B32" t="s">
        <v>66</v>
      </c>
      <c r="C32">
        <v>14</v>
      </c>
      <c r="D32" s="1">
        <v>1417</v>
      </c>
      <c r="E32" t="s">
        <v>69</v>
      </c>
      <c r="F32" t="s">
        <v>71</v>
      </c>
      <c r="G32" t="s">
        <v>104</v>
      </c>
      <c r="H32">
        <v>4.58</v>
      </c>
      <c r="I32">
        <v>956</v>
      </c>
      <c r="J32">
        <v>99</v>
      </c>
      <c r="K32">
        <v>16510</v>
      </c>
      <c r="L32">
        <v>1261</v>
      </c>
      <c r="M32">
        <v>7</v>
      </c>
      <c r="N32">
        <v>1421</v>
      </c>
      <c r="O32">
        <v>1530</v>
      </c>
      <c r="P32">
        <v>87</v>
      </c>
      <c r="Q32">
        <v>430</v>
      </c>
      <c r="R32">
        <v>94</v>
      </c>
      <c r="S32">
        <v>96</v>
      </c>
      <c r="T32">
        <v>548</v>
      </c>
    </row>
    <row r="33" spans="1:20" x14ac:dyDescent="0.35">
      <c r="A33" t="s">
        <v>43</v>
      </c>
      <c r="B33" t="s">
        <v>64</v>
      </c>
      <c r="C33">
        <v>12</v>
      </c>
      <c r="D33" s="1">
        <v>1039</v>
      </c>
      <c r="E33" t="s">
        <v>69</v>
      </c>
      <c r="F33" t="s">
        <v>74</v>
      </c>
      <c r="G33" t="s">
        <v>105</v>
      </c>
      <c r="H33">
        <v>2.0099999999999998</v>
      </c>
      <c r="I33">
        <v>1414</v>
      </c>
      <c r="J33">
        <v>93</v>
      </c>
      <c r="K33">
        <v>13300</v>
      </c>
      <c r="L33">
        <v>641</v>
      </c>
      <c r="M33">
        <v>2</v>
      </c>
      <c r="N33">
        <v>973</v>
      </c>
      <c r="O33">
        <v>1784</v>
      </c>
      <c r="P33">
        <v>84</v>
      </c>
      <c r="Q33">
        <v>361</v>
      </c>
      <c r="R33">
        <v>93</v>
      </c>
      <c r="S33">
        <v>82</v>
      </c>
      <c r="T33">
        <v>512</v>
      </c>
    </row>
    <row r="34" spans="1:20" x14ac:dyDescent="0.35">
      <c r="A34" t="s">
        <v>44</v>
      </c>
      <c r="B34" t="s">
        <v>64</v>
      </c>
      <c r="C34">
        <v>13</v>
      </c>
      <c r="D34" s="1">
        <v>1238</v>
      </c>
      <c r="E34" t="s">
        <v>68</v>
      </c>
      <c r="F34" t="s">
        <v>72</v>
      </c>
      <c r="G34" t="s">
        <v>106</v>
      </c>
      <c r="H34">
        <v>2.39</v>
      </c>
      <c r="I34">
        <v>1426</v>
      </c>
      <c r="J34">
        <v>97</v>
      </c>
      <c r="K34">
        <v>33920</v>
      </c>
      <c r="L34">
        <v>1468</v>
      </c>
      <c r="M34">
        <v>0</v>
      </c>
      <c r="N34">
        <v>1679</v>
      </c>
      <c r="O34">
        <v>1779</v>
      </c>
      <c r="P34">
        <v>95</v>
      </c>
      <c r="Q34">
        <v>3</v>
      </c>
      <c r="R34">
        <v>95</v>
      </c>
      <c r="S34">
        <v>89</v>
      </c>
      <c r="T34">
        <v>685</v>
      </c>
    </row>
    <row r="35" spans="1:20" x14ac:dyDescent="0.35">
      <c r="A35" t="s">
        <v>45</v>
      </c>
      <c r="B35" t="s">
        <v>66</v>
      </c>
      <c r="C35">
        <v>13</v>
      </c>
      <c r="D35" s="1">
        <v>1382</v>
      </c>
      <c r="E35" t="s">
        <v>69</v>
      </c>
      <c r="F35" t="s">
        <v>71</v>
      </c>
      <c r="G35" t="s">
        <v>107</v>
      </c>
      <c r="H35">
        <v>2.7</v>
      </c>
      <c r="I35">
        <v>779</v>
      </c>
      <c r="J35">
        <v>91</v>
      </c>
      <c r="K35">
        <v>29890</v>
      </c>
      <c r="L35">
        <v>529</v>
      </c>
      <c r="M35">
        <v>6</v>
      </c>
      <c r="N35">
        <v>1188</v>
      </c>
      <c r="O35">
        <v>2369</v>
      </c>
      <c r="P35">
        <v>92</v>
      </c>
      <c r="Q35">
        <v>370</v>
      </c>
      <c r="R35">
        <v>92</v>
      </c>
      <c r="S35">
        <v>94</v>
      </c>
      <c r="T35">
        <v>770</v>
      </c>
    </row>
    <row r="36" spans="1:20" x14ac:dyDescent="0.35">
      <c r="A36" t="s">
        <v>46</v>
      </c>
      <c r="B36" t="s">
        <v>63</v>
      </c>
      <c r="C36">
        <v>13</v>
      </c>
      <c r="D36" s="1">
        <v>1013</v>
      </c>
      <c r="E36" t="s">
        <v>68</v>
      </c>
      <c r="F36" t="s">
        <v>71</v>
      </c>
      <c r="G36" t="s">
        <v>108</v>
      </c>
      <c r="H36">
        <v>0.62</v>
      </c>
      <c r="I36">
        <v>1158</v>
      </c>
      <c r="J36">
        <v>91</v>
      </c>
      <c r="K36">
        <v>15550</v>
      </c>
      <c r="L36">
        <v>1387</v>
      </c>
      <c r="M36">
        <v>7</v>
      </c>
      <c r="N36">
        <v>872</v>
      </c>
      <c r="O36">
        <v>1102</v>
      </c>
      <c r="P36">
        <v>88</v>
      </c>
      <c r="Q36">
        <v>194</v>
      </c>
      <c r="R36">
        <v>95</v>
      </c>
      <c r="S36">
        <v>86</v>
      </c>
      <c r="T36">
        <v>532</v>
      </c>
    </row>
    <row r="37" spans="1:20" x14ac:dyDescent="0.35">
      <c r="A37" t="s">
        <v>47</v>
      </c>
      <c r="B37" t="s">
        <v>64</v>
      </c>
      <c r="C37">
        <v>11</v>
      </c>
      <c r="D37" s="1">
        <v>1142</v>
      </c>
      <c r="E37" t="s">
        <v>68</v>
      </c>
      <c r="F37" t="s">
        <v>74</v>
      </c>
      <c r="G37" t="s">
        <v>109</v>
      </c>
      <c r="H37">
        <v>0.59</v>
      </c>
      <c r="I37">
        <v>1052</v>
      </c>
      <c r="J37">
        <v>85</v>
      </c>
      <c r="K37">
        <v>48990</v>
      </c>
      <c r="L37">
        <v>858</v>
      </c>
      <c r="M37">
        <v>3</v>
      </c>
      <c r="N37">
        <v>1831</v>
      </c>
      <c r="O37">
        <v>1140</v>
      </c>
      <c r="P37">
        <v>81</v>
      </c>
      <c r="Q37">
        <v>386</v>
      </c>
      <c r="R37">
        <v>90</v>
      </c>
      <c r="S37">
        <v>87</v>
      </c>
      <c r="T37">
        <v>402</v>
      </c>
    </row>
    <row r="38" spans="1:20" x14ac:dyDescent="0.35">
      <c r="A38" t="s">
        <v>48</v>
      </c>
      <c r="B38" t="s">
        <v>63</v>
      </c>
      <c r="C38">
        <v>7</v>
      </c>
      <c r="D38" s="1">
        <v>1122</v>
      </c>
      <c r="E38" t="s">
        <v>67</v>
      </c>
      <c r="F38" t="s">
        <v>73</v>
      </c>
      <c r="G38" t="s">
        <v>110</v>
      </c>
      <c r="H38">
        <v>3.04</v>
      </c>
      <c r="I38">
        <v>723</v>
      </c>
      <c r="J38">
        <v>92</v>
      </c>
      <c r="K38">
        <v>38650</v>
      </c>
      <c r="L38">
        <v>762</v>
      </c>
      <c r="M38">
        <v>5</v>
      </c>
      <c r="N38">
        <v>843</v>
      </c>
      <c r="O38">
        <v>2240</v>
      </c>
      <c r="P38">
        <v>99</v>
      </c>
      <c r="Q38">
        <v>493</v>
      </c>
      <c r="R38">
        <v>91</v>
      </c>
      <c r="S38">
        <v>85</v>
      </c>
      <c r="T38">
        <v>793</v>
      </c>
    </row>
    <row r="39" spans="1:20" x14ac:dyDescent="0.35">
      <c r="A39" t="s">
        <v>49</v>
      </c>
      <c r="B39" t="s">
        <v>62</v>
      </c>
      <c r="C39">
        <v>14</v>
      </c>
      <c r="D39" s="1">
        <v>1013</v>
      </c>
      <c r="E39" t="s">
        <v>68</v>
      </c>
      <c r="F39" t="s">
        <v>71</v>
      </c>
      <c r="G39" t="s">
        <v>111</v>
      </c>
      <c r="H39">
        <v>2.2799999999999998</v>
      </c>
      <c r="I39">
        <v>1232</v>
      </c>
      <c r="J39">
        <v>88</v>
      </c>
      <c r="K39">
        <v>13110</v>
      </c>
      <c r="L39">
        <v>1106</v>
      </c>
      <c r="M39">
        <v>10</v>
      </c>
      <c r="N39">
        <v>997</v>
      </c>
      <c r="O39">
        <v>1208</v>
      </c>
      <c r="P39">
        <v>89</v>
      </c>
      <c r="Q39">
        <v>435</v>
      </c>
      <c r="R39">
        <v>99</v>
      </c>
      <c r="S39">
        <v>83</v>
      </c>
      <c r="T39">
        <v>707</v>
      </c>
    </row>
    <row r="40" spans="1:20" x14ac:dyDescent="0.35">
      <c r="A40" t="s">
        <v>50</v>
      </c>
      <c r="B40" t="s">
        <v>64</v>
      </c>
      <c r="C40">
        <v>13</v>
      </c>
      <c r="D40" s="1">
        <v>1219</v>
      </c>
      <c r="E40" t="s">
        <v>69</v>
      </c>
      <c r="F40" t="s">
        <v>74</v>
      </c>
      <c r="G40" t="s">
        <v>85</v>
      </c>
      <c r="H40">
        <v>3.41</v>
      </c>
      <c r="I40">
        <v>512</v>
      </c>
      <c r="J40">
        <v>98</v>
      </c>
      <c r="K40">
        <v>27200</v>
      </c>
      <c r="L40">
        <v>1342</v>
      </c>
      <c r="M40">
        <v>7</v>
      </c>
      <c r="N40">
        <v>716</v>
      </c>
      <c r="O40">
        <v>1887</v>
      </c>
      <c r="P40">
        <v>91</v>
      </c>
      <c r="Q40">
        <v>325</v>
      </c>
      <c r="R40">
        <v>97</v>
      </c>
      <c r="S40">
        <v>84</v>
      </c>
      <c r="T40">
        <v>522</v>
      </c>
    </row>
    <row r="41" spans="1:20" x14ac:dyDescent="0.35">
      <c r="A41" t="s">
        <v>51</v>
      </c>
      <c r="B41" t="s">
        <v>63</v>
      </c>
      <c r="C41">
        <v>15</v>
      </c>
      <c r="D41" s="1">
        <v>1138</v>
      </c>
      <c r="E41" t="s">
        <v>69</v>
      </c>
      <c r="F41" t="s">
        <v>71</v>
      </c>
      <c r="G41" t="s">
        <v>112</v>
      </c>
      <c r="H41">
        <v>2.46</v>
      </c>
      <c r="I41">
        <v>1248</v>
      </c>
      <c r="J41">
        <v>94</v>
      </c>
      <c r="K41">
        <v>20990</v>
      </c>
      <c r="L41">
        <v>830</v>
      </c>
      <c r="M41">
        <v>3</v>
      </c>
      <c r="N41">
        <v>677</v>
      </c>
      <c r="O41">
        <v>1571</v>
      </c>
      <c r="P41">
        <v>94</v>
      </c>
      <c r="Q41">
        <v>124</v>
      </c>
      <c r="R41">
        <v>97</v>
      </c>
      <c r="S41">
        <v>98</v>
      </c>
      <c r="T41">
        <v>612</v>
      </c>
    </row>
    <row r="42" spans="1:20" x14ac:dyDescent="0.35">
      <c r="A42" t="s">
        <v>52</v>
      </c>
      <c r="B42" t="s">
        <v>64</v>
      </c>
      <c r="C42">
        <v>5</v>
      </c>
      <c r="D42" s="1">
        <v>1253</v>
      </c>
      <c r="E42" t="s">
        <v>68</v>
      </c>
      <c r="F42" t="s">
        <v>70</v>
      </c>
      <c r="G42" t="s">
        <v>113</v>
      </c>
      <c r="H42">
        <v>2.1</v>
      </c>
      <c r="I42">
        <v>764</v>
      </c>
      <c r="J42">
        <v>90</v>
      </c>
      <c r="K42">
        <v>21450</v>
      </c>
      <c r="L42">
        <v>1401</v>
      </c>
      <c r="M42">
        <v>9</v>
      </c>
      <c r="N42">
        <v>1936</v>
      </c>
      <c r="O42">
        <v>2802</v>
      </c>
      <c r="P42">
        <v>88</v>
      </c>
      <c r="Q42">
        <v>284</v>
      </c>
      <c r="R42">
        <v>90</v>
      </c>
      <c r="S42">
        <v>96</v>
      </c>
      <c r="T42">
        <v>785</v>
      </c>
    </row>
    <row r="43" spans="1:20" x14ac:dyDescent="0.35">
      <c r="A43" t="s">
        <v>53</v>
      </c>
      <c r="B43" t="s">
        <v>62</v>
      </c>
      <c r="C43">
        <v>8</v>
      </c>
      <c r="D43" s="1">
        <v>1368</v>
      </c>
      <c r="E43" t="s">
        <v>68</v>
      </c>
      <c r="F43" t="s">
        <v>73</v>
      </c>
      <c r="G43" t="s">
        <v>114</v>
      </c>
      <c r="H43">
        <v>1.58</v>
      </c>
      <c r="I43">
        <v>987</v>
      </c>
      <c r="J43">
        <v>95</v>
      </c>
      <c r="K43">
        <v>39150</v>
      </c>
      <c r="L43">
        <v>1002</v>
      </c>
      <c r="M43">
        <v>7</v>
      </c>
      <c r="N43">
        <v>535</v>
      </c>
      <c r="O43">
        <v>1190</v>
      </c>
      <c r="P43">
        <v>89</v>
      </c>
      <c r="Q43">
        <v>113</v>
      </c>
      <c r="R43">
        <v>96</v>
      </c>
      <c r="S43">
        <v>87</v>
      </c>
      <c r="T43">
        <v>456</v>
      </c>
    </row>
    <row r="44" spans="1:20" x14ac:dyDescent="0.35">
      <c r="A44" t="s">
        <v>54</v>
      </c>
      <c r="B44" t="s">
        <v>66</v>
      </c>
      <c r="C44">
        <v>13</v>
      </c>
      <c r="D44" s="1">
        <v>1271</v>
      </c>
      <c r="E44" t="s">
        <v>68</v>
      </c>
      <c r="F44" t="s">
        <v>73</v>
      </c>
      <c r="G44" t="s">
        <v>115</v>
      </c>
      <c r="H44">
        <v>1.99</v>
      </c>
      <c r="I44">
        <v>1219</v>
      </c>
      <c r="J44">
        <v>92</v>
      </c>
      <c r="K44">
        <v>21090</v>
      </c>
      <c r="L44">
        <v>813</v>
      </c>
      <c r="M44">
        <v>4</v>
      </c>
      <c r="N44">
        <v>972</v>
      </c>
      <c r="O44">
        <v>1247</v>
      </c>
      <c r="P44">
        <v>86</v>
      </c>
      <c r="Q44">
        <v>161</v>
      </c>
      <c r="R44">
        <v>91</v>
      </c>
      <c r="S44">
        <v>97</v>
      </c>
      <c r="T44">
        <v>786</v>
      </c>
    </row>
    <row r="45" spans="1:20" x14ac:dyDescent="0.35">
      <c r="A45" t="s">
        <v>55</v>
      </c>
      <c r="B45" t="s">
        <v>65</v>
      </c>
      <c r="C45">
        <v>8</v>
      </c>
      <c r="D45" s="1">
        <v>1378</v>
      </c>
      <c r="E45" t="s">
        <v>68</v>
      </c>
      <c r="F45" t="s">
        <v>74</v>
      </c>
      <c r="G45" t="s">
        <v>116</v>
      </c>
      <c r="H45">
        <v>4.8899999999999997</v>
      </c>
      <c r="I45">
        <v>1037</v>
      </c>
      <c r="J45">
        <v>94</v>
      </c>
      <c r="K45">
        <v>21590</v>
      </c>
      <c r="L45">
        <v>602</v>
      </c>
      <c r="M45">
        <v>3</v>
      </c>
      <c r="N45">
        <v>1106</v>
      </c>
      <c r="O45">
        <v>1465</v>
      </c>
      <c r="P45">
        <v>91</v>
      </c>
      <c r="Q45">
        <v>91</v>
      </c>
      <c r="R45">
        <v>94</v>
      </c>
      <c r="S45">
        <v>80</v>
      </c>
      <c r="T45">
        <v>662</v>
      </c>
    </row>
    <row r="46" spans="1:20" x14ac:dyDescent="0.35">
      <c r="A46" t="s">
        <v>56</v>
      </c>
      <c r="B46" t="s">
        <v>64</v>
      </c>
      <c r="C46">
        <v>5</v>
      </c>
      <c r="D46" s="1">
        <v>1498</v>
      </c>
      <c r="E46" t="s">
        <v>67</v>
      </c>
      <c r="F46" t="s">
        <v>71</v>
      </c>
      <c r="G46" t="s">
        <v>117</v>
      </c>
      <c r="H46">
        <v>4.75</v>
      </c>
      <c r="I46">
        <v>1153</v>
      </c>
      <c r="J46">
        <v>98</v>
      </c>
      <c r="K46">
        <v>40830</v>
      </c>
      <c r="L46">
        <v>1002</v>
      </c>
      <c r="M46">
        <v>1</v>
      </c>
      <c r="N46">
        <v>525</v>
      </c>
      <c r="O46">
        <v>2175</v>
      </c>
      <c r="P46">
        <v>89</v>
      </c>
      <c r="Q46">
        <v>240</v>
      </c>
      <c r="R46">
        <v>97</v>
      </c>
      <c r="S46">
        <v>94</v>
      </c>
      <c r="T46">
        <v>474</v>
      </c>
    </row>
    <row r="47" spans="1:20" x14ac:dyDescent="0.35">
      <c r="A47" t="s">
        <v>57</v>
      </c>
      <c r="B47" t="s">
        <v>62</v>
      </c>
      <c r="C47">
        <v>9</v>
      </c>
      <c r="D47" s="1">
        <v>1481</v>
      </c>
      <c r="E47" t="s">
        <v>68</v>
      </c>
      <c r="F47" t="s">
        <v>72</v>
      </c>
      <c r="G47" t="s">
        <v>118</v>
      </c>
      <c r="H47">
        <v>2.71</v>
      </c>
      <c r="I47">
        <v>1090</v>
      </c>
      <c r="J47">
        <v>95</v>
      </c>
      <c r="K47">
        <v>38110</v>
      </c>
      <c r="L47">
        <v>554</v>
      </c>
      <c r="M47">
        <v>2</v>
      </c>
      <c r="N47">
        <v>805</v>
      </c>
      <c r="O47">
        <v>2661</v>
      </c>
      <c r="P47">
        <v>98</v>
      </c>
      <c r="Q47">
        <v>485</v>
      </c>
      <c r="R47">
        <v>94</v>
      </c>
      <c r="S47">
        <v>82</v>
      </c>
      <c r="T47">
        <v>427</v>
      </c>
    </row>
    <row r="48" spans="1:20" x14ac:dyDescent="0.35">
      <c r="A48" t="s">
        <v>58</v>
      </c>
      <c r="B48" t="s">
        <v>63</v>
      </c>
      <c r="C48">
        <v>11</v>
      </c>
      <c r="D48" s="1">
        <v>1310</v>
      </c>
      <c r="E48" t="s">
        <v>69</v>
      </c>
      <c r="F48" t="s">
        <v>71</v>
      </c>
      <c r="G48" t="s">
        <v>119</v>
      </c>
      <c r="H48">
        <v>2.85</v>
      </c>
      <c r="I48">
        <v>961</v>
      </c>
      <c r="J48">
        <v>99</v>
      </c>
      <c r="K48">
        <v>28130</v>
      </c>
      <c r="L48">
        <v>804</v>
      </c>
      <c r="M48">
        <v>9</v>
      </c>
      <c r="N48">
        <v>1378</v>
      </c>
      <c r="O48">
        <v>1625</v>
      </c>
      <c r="P48">
        <v>98</v>
      </c>
      <c r="Q48">
        <v>317</v>
      </c>
      <c r="R48">
        <v>90</v>
      </c>
      <c r="S48">
        <v>99</v>
      </c>
      <c r="T48">
        <v>791</v>
      </c>
    </row>
    <row r="49" spans="1:20" x14ac:dyDescent="0.35">
      <c r="A49" t="s">
        <v>59</v>
      </c>
      <c r="B49" t="s">
        <v>65</v>
      </c>
      <c r="C49">
        <v>15</v>
      </c>
      <c r="D49" s="1">
        <v>1108</v>
      </c>
      <c r="E49" t="s">
        <v>68</v>
      </c>
      <c r="F49" t="s">
        <v>72</v>
      </c>
      <c r="G49" t="s">
        <v>120</v>
      </c>
      <c r="H49">
        <v>1.28</v>
      </c>
      <c r="I49">
        <v>576</v>
      </c>
      <c r="J49">
        <v>87</v>
      </c>
      <c r="K49">
        <v>10100</v>
      </c>
      <c r="L49">
        <v>918</v>
      </c>
      <c r="M49">
        <v>7</v>
      </c>
      <c r="N49">
        <v>1911</v>
      </c>
      <c r="O49">
        <v>2216</v>
      </c>
      <c r="P49">
        <v>95</v>
      </c>
      <c r="Q49">
        <v>149</v>
      </c>
      <c r="R49">
        <v>90</v>
      </c>
      <c r="S49">
        <v>87</v>
      </c>
      <c r="T49">
        <v>447</v>
      </c>
    </row>
    <row r="50" spans="1:20" x14ac:dyDescent="0.35">
      <c r="A50" t="s">
        <v>60</v>
      </c>
      <c r="B50" t="s">
        <v>66</v>
      </c>
      <c r="C50">
        <v>6</v>
      </c>
      <c r="D50" s="1">
        <v>1351</v>
      </c>
      <c r="E50" t="s">
        <v>67</v>
      </c>
      <c r="F50" t="s">
        <v>74</v>
      </c>
      <c r="G50" t="s">
        <v>121</v>
      </c>
      <c r="H50">
        <v>3.48</v>
      </c>
      <c r="I50">
        <v>1456</v>
      </c>
      <c r="J50">
        <v>88</v>
      </c>
      <c r="K50">
        <v>27410</v>
      </c>
      <c r="L50">
        <v>617</v>
      </c>
      <c r="M50">
        <v>8</v>
      </c>
      <c r="N50">
        <v>960</v>
      </c>
      <c r="O50">
        <v>2326</v>
      </c>
      <c r="P50">
        <v>84</v>
      </c>
      <c r="Q50">
        <v>465</v>
      </c>
      <c r="R50">
        <v>94</v>
      </c>
      <c r="S50">
        <v>84</v>
      </c>
      <c r="T50">
        <v>336</v>
      </c>
    </row>
    <row r="51" spans="1:20" x14ac:dyDescent="0.35">
      <c r="A51" t="s">
        <v>61</v>
      </c>
      <c r="B51" t="s">
        <v>65</v>
      </c>
      <c r="C51">
        <v>9</v>
      </c>
      <c r="D51" s="1">
        <v>1304</v>
      </c>
      <c r="E51" t="s">
        <v>69</v>
      </c>
      <c r="F51" t="s">
        <v>71</v>
      </c>
      <c r="G51" t="s">
        <v>122</v>
      </c>
      <c r="H51">
        <v>1.06</v>
      </c>
      <c r="I51">
        <v>1205</v>
      </c>
      <c r="J51">
        <v>89</v>
      </c>
      <c r="K51">
        <v>38660</v>
      </c>
      <c r="L51">
        <v>912</v>
      </c>
      <c r="M51">
        <v>4</v>
      </c>
      <c r="N51">
        <v>1524</v>
      </c>
      <c r="O51">
        <v>2105</v>
      </c>
      <c r="P51">
        <v>95</v>
      </c>
      <c r="Q51">
        <v>224</v>
      </c>
      <c r="R51">
        <v>91</v>
      </c>
      <c r="S51">
        <v>99</v>
      </c>
      <c r="T51">
        <v>320</v>
      </c>
    </row>
  </sheetData>
  <sortState xmlns:xlrd2="http://schemas.microsoft.com/office/spreadsheetml/2017/richdata2" ref="A2:U51">
    <sortCondition ref="A2:A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087F-8B3A-438F-83A4-80A964AD7E6F}">
  <dimension ref="A1:L31"/>
  <sheetViews>
    <sheetView tabSelected="1" workbookViewId="0">
      <selection activeCell="D8" sqref="D8"/>
    </sheetView>
  </sheetViews>
  <sheetFormatPr defaultColWidth="8.81640625" defaultRowHeight="14.5" x14ac:dyDescent="0.35"/>
  <cols>
    <col min="1" max="1" width="22.6328125" bestFit="1" customWidth="1"/>
    <col min="2" max="2" width="20.90625" bestFit="1" customWidth="1"/>
    <col min="3" max="3" width="29.08984375" bestFit="1" customWidth="1"/>
    <col min="4" max="4" width="31" bestFit="1" customWidth="1"/>
    <col min="5" max="5" width="31.08984375" bestFit="1" customWidth="1"/>
    <col min="6" max="6" width="25.08984375" style="4" bestFit="1" customWidth="1"/>
    <col min="7" max="7" width="39" style="4" bestFit="1" customWidth="1"/>
    <col min="8" max="8" width="19.1796875" style="4" bestFit="1" customWidth="1"/>
    <col min="9" max="9" width="32.54296875" style="4" bestFit="1" customWidth="1"/>
    <col min="10" max="10" width="27.1796875" bestFit="1" customWidth="1"/>
    <col min="11" max="11" width="20.1796875" customWidth="1"/>
  </cols>
  <sheetData>
    <row r="1" spans="1:12" ht="23.5" x14ac:dyDescent="0.55000000000000004">
      <c r="A1" s="6" t="s">
        <v>126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5">
      <c r="A2" s="13" t="s">
        <v>155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35">
      <c r="F3"/>
      <c r="G3"/>
      <c r="H3"/>
      <c r="I3"/>
    </row>
    <row r="4" spans="1:12" x14ac:dyDescent="0.35">
      <c r="A4" s="7" t="s">
        <v>4</v>
      </c>
      <c r="B4" s="7" t="s">
        <v>127</v>
      </c>
      <c r="C4" s="7" t="s">
        <v>128</v>
      </c>
      <c r="D4" s="7" t="s">
        <v>129</v>
      </c>
      <c r="E4" s="7" t="s">
        <v>130</v>
      </c>
      <c r="F4"/>
      <c r="G4" s="7" t="s">
        <v>131</v>
      </c>
      <c r="H4" s="7" t="s">
        <v>132</v>
      </c>
      <c r="I4" s="7" t="s">
        <v>133</v>
      </c>
      <c r="J4" s="7" t="s">
        <v>134</v>
      </c>
    </row>
    <row r="5" spans="1:12" x14ac:dyDescent="0.35">
      <c r="A5" t="s">
        <v>69</v>
      </c>
      <c r="B5" s="9">
        <f>COUNTIF(Dataset!$E$2:$E$51,A5)</f>
        <v>12</v>
      </c>
      <c r="C5" s="10">
        <f>AVERAGEIF(Dataset!$E$2:$E$51,A5,Dataset!$C$2:$C$51)</f>
        <v>11.25</v>
      </c>
      <c r="D5" s="10">
        <f>AVERAGEIF(Dataset!$E$2:$E$51,A5,Dataset!$P$2:$P$51)</f>
        <v>91.083333333333329</v>
      </c>
      <c r="E5" s="10">
        <f>AVERAGEIF(Dataset!$E$2:$E$51,A5,Dataset!$M$2:$M$51)</f>
        <v>6.416666666666667</v>
      </c>
      <c r="F5"/>
      <c r="G5" t="s">
        <v>135</v>
      </c>
      <c r="H5" s="10">
        <f>AVERAGE(Dataset!$C$2:$C$51)</f>
        <v>13.56</v>
      </c>
      <c r="I5" t="s">
        <v>139</v>
      </c>
      <c r="J5" t="s">
        <v>143</v>
      </c>
    </row>
    <row r="6" spans="1:12" x14ac:dyDescent="0.35">
      <c r="A6" t="s">
        <v>68</v>
      </c>
      <c r="B6" s="9">
        <f>COUNTIF(Dataset!$E$2:$E$51,A6)</f>
        <v>24</v>
      </c>
      <c r="C6" s="10">
        <f>AVERAGEIF(Dataset!$E$2:$E$51,A6,Dataset!$C$2:$C$51)</f>
        <v>15.125</v>
      </c>
      <c r="D6" s="10">
        <f>AVERAGEIF(Dataset!$E$2:$E$51,A6,Dataset!$P$2:$P$51)</f>
        <v>90.041666666666671</v>
      </c>
      <c r="E6" s="10">
        <f>AVERAGEIF(Dataset!$E$2:$E$51,A6,Dataset!$M$2:$M$51)</f>
        <v>6.5</v>
      </c>
      <c r="F6"/>
      <c r="G6" t="s">
        <v>136</v>
      </c>
      <c r="H6" s="10">
        <f>COUNTIF(Dataset!$C$2:$C$51,"&gt;"&amp;H5)</f>
        <v>11</v>
      </c>
      <c r="I6" t="s">
        <v>140</v>
      </c>
      <c r="J6" t="s">
        <v>144</v>
      </c>
    </row>
    <row r="7" spans="1:12" x14ac:dyDescent="0.35">
      <c r="A7" t="s">
        <v>67</v>
      </c>
      <c r="B7" s="9">
        <f>COUNTIF(Dataset!$E$2:$E$51,A7)</f>
        <v>14</v>
      </c>
      <c r="C7" s="10">
        <f>AVERAGEIF(Dataset!$E$2:$E$51,A7,Dataset!$C$2:$C$51)</f>
        <v>12.857142857142858</v>
      </c>
      <c r="D7" s="10">
        <f>AVERAGEIF(Dataset!$E$2:$E$51,A7,Dataset!$P$2:$P$51)</f>
        <v>88.857142857142861</v>
      </c>
      <c r="E7" s="10">
        <f>AVERAGEIF(Dataset!$E$2:$E$51,A7,Dataset!$M$2:$M$51)</f>
        <v>7</v>
      </c>
      <c r="F7"/>
      <c r="G7" t="s">
        <v>137</v>
      </c>
      <c r="H7" s="10">
        <f>AVERAGEIF(Dataset!$C$2:$C$51,"&gt;"&amp;H5,Dataset!$P$2:$P$51)</f>
        <v>89.818181818181813</v>
      </c>
      <c r="I7" t="s">
        <v>141</v>
      </c>
      <c r="J7" t="s">
        <v>145</v>
      </c>
    </row>
    <row r="8" spans="1:12" x14ac:dyDescent="0.35">
      <c r="F8"/>
      <c r="G8" t="s">
        <v>138</v>
      </c>
      <c r="H8" s="10">
        <f>_xlfn.MINIFS(Dataset!$P$2:$P$51,Dataset!$C$2:$C$51,"&gt;"&amp;H5)</f>
        <v>82</v>
      </c>
      <c r="I8" t="s">
        <v>142</v>
      </c>
      <c r="J8" t="s">
        <v>146</v>
      </c>
    </row>
    <row r="9" spans="1:12" x14ac:dyDescent="0.35">
      <c r="F9"/>
      <c r="G9"/>
      <c r="H9"/>
      <c r="I9"/>
    </row>
    <row r="10" spans="1:12" x14ac:dyDescent="0.35">
      <c r="F10"/>
      <c r="G10"/>
      <c r="H10"/>
      <c r="I10"/>
    </row>
    <row r="11" spans="1:12" x14ac:dyDescent="0.35">
      <c r="A11" s="7" t="s">
        <v>124</v>
      </c>
      <c r="B11" s="7" t="s">
        <v>148</v>
      </c>
      <c r="C11" s="7" t="s">
        <v>149</v>
      </c>
      <c r="D11" s="7" t="s">
        <v>150</v>
      </c>
      <c r="E11" s="7" t="s">
        <v>151</v>
      </c>
      <c r="F11" s="7" t="s">
        <v>152</v>
      </c>
      <c r="G11" s="7" t="s">
        <v>153</v>
      </c>
      <c r="H11" s="7" t="s">
        <v>154</v>
      </c>
      <c r="I11" s="12"/>
      <c r="J11" s="12"/>
      <c r="K11" s="12"/>
      <c r="L11" s="12"/>
    </row>
    <row r="12" spans="1:12" x14ac:dyDescent="0.35">
      <c r="A12" t="s">
        <v>64</v>
      </c>
      <c r="B12" s="9">
        <f>COUNTIF(Dataset!$B$2:$B$51,A12)</f>
        <v>10</v>
      </c>
      <c r="C12" s="10">
        <f>AVERAGEIF(Dataset!$B$2:$B$51,A12,Dataset!$J$2:$J$51)</f>
        <v>93.2</v>
      </c>
      <c r="D12" s="10">
        <f>AVERAGEIF(Dataset!$B$2:$B$51,A12,Dataset!$P$2:$P$51)</f>
        <v>87.9</v>
      </c>
      <c r="E12" s="10">
        <f>AVERAGEIF(Dataset!$B$2:$B$51,A12,Dataset!$H$2:$H$51)</f>
        <v>2.4980000000000002</v>
      </c>
      <c r="F12" s="10">
        <f>AVERAGEIF(Dataset!$B$2:$B$51,A12,Dataset!$R$2:$R$51)</f>
        <v>93.9</v>
      </c>
      <c r="G12" s="14">
        <f>AVERAGEIF(Dataset!$B$2:$B$51,A12,Dataset!$Q$2:$Q$51)</f>
        <v>318.7</v>
      </c>
      <c r="H12" s="9">
        <f>COUNTIFS(Dataset!$B$2:$B$51,A12,Dataset!$E$2:$E$51,"High")</f>
        <v>3</v>
      </c>
      <c r="I12" s="12"/>
      <c r="J12" s="12"/>
      <c r="K12" s="12"/>
      <c r="L12" s="12"/>
    </row>
    <row r="13" spans="1:12" x14ac:dyDescent="0.35">
      <c r="A13" t="s">
        <v>62</v>
      </c>
      <c r="B13" s="9">
        <f>COUNTIF(Dataset!$B$2:$B$51,A13)</f>
        <v>9</v>
      </c>
      <c r="C13" s="10">
        <f>AVERAGEIF(Dataset!$B$2:$B$51,A13,Dataset!$J$2:$J$51)</f>
        <v>92.555555555555557</v>
      </c>
      <c r="D13" s="10">
        <f>AVERAGEIF(Dataset!$B$2:$B$51,A13,Dataset!$P$2:$P$51)</f>
        <v>90.888888888888886</v>
      </c>
      <c r="E13" s="10">
        <f>AVERAGEIF(Dataset!$B$2:$B$51,A13,Dataset!$H$2:$H$51)</f>
        <v>2.5677777777777777</v>
      </c>
      <c r="F13" s="10">
        <f>AVERAGEIF(Dataset!$B$2:$B$51,A13,Dataset!$R$2:$R$51)</f>
        <v>94.555555555555557</v>
      </c>
      <c r="G13" s="14">
        <f>AVERAGEIF(Dataset!$B$2:$B$51,A13,Dataset!$Q$2:$Q$51)</f>
        <v>271.22222222222223</v>
      </c>
      <c r="H13" s="9">
        <f>COUNTIFS(Dataset!$B$2:$B$51,A13,Dataset!$E$2:$E$51,"High")</f>
        <v>0</v>
      </c>
      <c r="I13" s="12"/>
      <c r="J13" s="12"/>
      <c r="K13" s="12"/>
      <c r="L13" s="12"/>
    </row>
    <row r="14" spans="1:12" x14ac:dyDescent="0.35">
      <c r="A14" t="s">
        <v>65</v>
      </c>
      <c r="B14" s="9">
        <f>COUNTIF(Dataset!$B$2:$B$51,A14)</f>
        <v>11</v>
      </c>
      <c r="C14" s="10">
        <f>AVERAGEIF(Dataset!$B$2:$B$51,A14,Dataset!$J$2:$J$51)</f>
        <v>91.818181818181813</v>
      </c>
      <c r="D14" s="10">
        <f>AVERAGEIF(Dataset!$B$2:$B$51,A14,Dataset!$P$2:$P$51)</f>
        <v>91.545454545454547</v>
      </c>
      <c r="E14" s="10">
        <f>AVERAGEIF(Dataset!$B$2:$B$51,A14,Dataset!$H$2:$H$51)</f>
        <v>2.2190909090909092</v>
      </c>
      <c r="F14" s="10">
        <f>AVERAGEIF(Dataset!$B$2:$B$51,A14,Dataset!$R$2:$R$51)</f>
        <v>93.727272727272734</v>
      </c>
      <c r="G14" s="14">
        <f>AVERAGEIF(Dataset!$B$2:$B$51,A14,Dataset!$Q$2:$Q$51)</f>
        <v>207.72727272727272</v>
      </c>
      <c r="H14" s="9">
        <f>COUNTIFS(Dataset!$B$2:$B$51,A14,Dataset!$E$2:$E$51,"High")</f>
        <v>3</v>
      </c>
      <c r="I14" s="12"/>
      <c r="J14" s="12"/>
      <c r="K14" s="12"/>
      <c r="L14" s="12"/>
    </row>
    <row r="15" spans="1:12" x14ac:dyDescent="0.35">
      <c r="A15" t="s">
        <v>66</v>
      </c>
      <c r="B15" s="9">
        <f>COUNTIF(Dataset!$B$2:$B$51,A15)</f>
        <v>7</v>
      </c>
      <c r="C15" s="10">
        <f>AVERAGEIF(Dataset!$B$2:$B$51,A15,Dataset!$J$2:$J$51)</f>
        <v>91.428571428571431</v>
      </c>
      <c r="D15" s="10">
        <f>AVERAGEIF(Dataset!$B$2:$B$51,A15,Dataset!$P$2:$P$51)</f>
        <v>88</v>
      </c>
      <c r="E15" s="10">
        <f>AVERAGEIF(Dataset!$B$2:$B$51,A15,Dataset!$H$2:$H$51)</f>
        <v>2.8885714285714283</v>
      </c>
      <c r="F15" s="10">
        <f>AVERAGEIF(Dataset!$B$2:$B$51,A15,Dataset!$R$2:$R$51)</f>
        <v>92.428571428571431</v>
      </c>
      <c r="G15" s="14">
        <f>AVERAGEIF(Dataset!$B$2:$B$51,A15,Dataset!$Q$2:$Q$51)</f>
        <v>312.28571428571428</v>
      </c>
      <c r="H15" s="9">
        <f>COUNTIFS(Dataset!$B$2:$B$51,A15,Dataset!$E$2:$E$51,"High")</f>
        <v>2</v>
      </c>
      <c r="I15" s="12"/>
      <c r="J15" s="12"/>
      <c r="K15" s="12"/>
      <c r="L15" s="12"/>
    </row>
    <row r="16" spans="1:12" x14ac:dyDescent="0.35">
      <c r="A16" t="s">
        <v>63</v>
      </c>
      <c r="B16" s="9">
        <f>COUNTIF(Dataset!$B$2:$B$51,A16)</f>
        <v>13</v>
      </c>
      <c r="C16" s="10">
        <f>AVERAGEIF(Dataset!$B$2:$B$51,A16,Dataset!$J$2:$J$51)</f>
        <v>92.84615384615384</v>
      </c>
      <c r="D16" s="10">
        <f>AVERAGEIF(Dataset!$B$2:$B$51,A16,Dataset!$P$2:$P$51)</f>
        <v>90.615384615384613</v>
      </c>
      <c r="E16" s="10">
        <f>AVERAGEIF(Dataset!$B$2:$B$51,A16,Dataset!$H$2:$H$51)</f>
        <v>2.5961538461538463</v>
      </c>
      <c r="F16" s="10">
        <f>AVERAGEIF(Dataset!$B$2:$B$51,A16,Dataset!$R$2:$R$51)</f>
        <v>94.15384615384616</v>
      </c>
      <c r="G16" s="14">
        <f>AVERAGEIF(Dataset!$B$2:$B$51,A16,Dataset!$Q$2:$Q$51)</f>
        <v>241</v>
      </c>
      <c r="H16" s="9">
        <f>COUNTIFS(Dataset!$B$2:$B$51,A16,Dataset!$E$2:$E$51,"High")</f>
        <v>4</v>
      </c>
      <c r="I16" s="12"/>
      <c r="J16" s="12"/>
      <c r="K16" s="12"/>
      <c r="L16" s="12"/>
    </row>
    <row r="17" spans="1:12" x14ac:dyDescent="0.35">
      <c r="G17" s="12"/>
      <c r="H17" s="12"/>
      <c r="I17" s="12"/>
      <c r="J17" s="12"/>
      <c r="K17" s="12"/>
      <c r="L17" s="12"/>
    </row>
    <row r="18" spans="1:12" x14ac:dyDescent="0.35">
      <c r="G18" s="12"/>
      <c r="H18" s="12"/>
      <c r="I18" s="12"/>
      <c r="J18" s="12"/>
      <c r="K18" s="12"/>
      <c r="L18" s="12"/>
    </row>
    <row r="19" spans="1:12" x14ac:dyDescent="0.35">
      <c r="G19" s="12"/>
      <c r="H19" s="12"/>
      <c r="I19" s="12"/>
      <c r="J19" s="12"/>
      <c r="K19" s="12"/>
      <c r="L19" s="12"/>
    </row>
    <row r="20" spans="1:12" x14ac:dyDescent="0.35">
      <c r="A20" s="7" t="s">
        <v>156</v>
      </c>
      <c r="B20" s="7" t="s">
        <v>124</v>
      </c>
      <c r="C20" s="7" t="s">
        <v>4</v>
      </c>
      <c r="D20" s="7" t="s">
        <v>125</v>
      </c>
      <c r="E20" s="7" t="s">
        <v>14</v>
      </c>
      <c r="F20" s="8" t="s">
        <v>147</v>
      </c>
      <c r="G20" s="12"/>
      <c r="H20" s="12"/>
      <c r="I20" s="12"/>
      <c r="J20" s="12"/>
      <c r="K20" s="12"/>
      <c r="L20" s="12"/>
    </row>
    <row r="21" spans="1:12" x14ac:dyDescent="0.35">
      <c r="A21" t="s">
        <v>21</v>
      </c>
      <c r="B21" t="s">
        <v>64</v>
      </c>
      <c r="C21" t="s">
        <v>68</v>
      </c>
      <c r="D21" s="10">
        <v>64</v>
      </c>
      <c r="E21" s="10">
        <v>99</v>
      </c>
      <c r="F21" s="11">
        <v>26</v>
      </c>
      <c r="G21" s="12"/>
      <c r="H21" s="12"/>
      <c r="I21" s="12"/>
      <c r="J21" s="12"/>
      <c r="K21" s="12"/>
      <c r="L21" s="12"/>
    </row>
    <row r="22" spans="1:12" x14ac:dyDescent="0.35">
      <c r="A22" t="s">
        <v>20</v>
      </c>
      <c r="B22" t="s">
        <v>63</v>
      </c>
      <c r="C22" t="s">
        <v>68</v>
      </c>
      <c r="D22" s="10">
        <v>62</v>
      </c>
      <c r="E22" s="10">
        <v>84</v>
      </c>
      <c r="F22" s="11">
        <v>24</v>
      </c>
      <c r="G22" s="12"/>
      <c r="H22" s="12"/>
      <c r="I22" s="12"/>
      <c r="J22" s="12"/>
      <c r="K22" s="12"/>
      <c r="L22" s="12"/>
    </row>
    <row r="23" spans="1:12" x14ac:dyDescent="0.35">
      <c r="A23" t="s">
        <v>19</v>
      </c>
      <c r="B23" t="s">
        <v>62</v>
      </c>
      <c r="C23" t="s">
        <v>67</v>
      </c>
      <c r="D23" s="10">
        <v>60</v>
      </c>
      <c r="E23" s="10">
        <v>82</v>
      </c>
      <c r="F23" s="11">
        <v>22</v>
      </c>
      <c r="G23" s="12"/>
      <c r="H23" s="12"/>
      <c r="I23" s="12"/>
      <c r="J23" s="12"/>
      <c r="K23" s="12"/>
      <c r="L23" s="12"/>
    </row>
    <row r="24" spans="1:12" x14ac:dyDescent="0.35">
      <c r="A24" t="s">
        <v>19</v>
      </c>
      <c r="B24" t="s">
        <v>62</v>
      </c>
      <c r="C24" t="s">
        <v>68</v>
      </c>
      <c r="D24" s="10">
        <v>15</v>
      </c>
      <c r="E24" s="10">
        <v>91</v>
      </c>
      <c r="F24" s="11">
        <v>5</v>
      </c>
      <c r="G24" s="12"/>
      <c r="H24" s="12"/>
      <c r="I24" s="12"/>
      <c r="J24" s="12"/>
      <c r="K24" s="12"/>
      <c r="L24" s="12"/>
    </row>
    <row r="25" spans="1:12" x14ac:dyDescent="0.35">
      <c r="A25" t="s">
        <v>22</v>
      </c>
      <c r="B25" t="s">
        <v>66</v>
      </c>
      <c r="C25" t="s">
        <v>68</v>
      </c>
      <c r="D25" s="10">
        <v>15</v>
      </c>
      <c r="E25" s="10">
        <v>98</v>
      </c>
      <c r="F25" s="11">
        <v>9</v>
      </c>
      <c r="G25" s="12"/>
      <c r="H25" s="12"/>
      <c r="I25" s="12"/>
      <c r="J25" s="12"/>
      <c r="K25" s="12"/>
      <c r="L25" s="12"/>
    </row>
    <row r="26" spans="1:12" x14ac:dyDescent="0.35">
      <c r="A26" t="s">
        <v>29</v>
      </c>
      <c r="B26" t="s">
        <v>65</v>
      </c>
      <c r="C26" t="s">
        <v>68</v>
      </c>
      <c r="D26" s="10">
        <v>15</v>
      </c>
      <c r="E26" s="10">
        <v>86</v>
      </c>
      <c r="F26" s="11">
        <v>1</v>
      </c>
      <c r="G26" s="12"/>
      <c r="H26" s="12"/>
      <c r="I26" s="12"/>
      <c r="J26" s="12"/>
      <c r="K26" s="12"/>
      <c r="L26" s="12"/>
    </row>
    <row r="27" spans="1:12" x14ac:dyDescent="0.35">
      <c r="A27" t="s">
        <v>41</v>
      </c>
      <c r="B27" t="s">
        <v>65</v>
      </c>
      <c r="C27" t="s">
        <v>67</v>
      </c>
      <c r="D27" s="10">
        <v>15</v>
      </c>
      <c r="E27" s="10">
        <v>83</v>
      </c>
      <c r="F27" s="11">
        <v>0</v>
      </c>
      <c r="G27" s="12"/>
      <c r="H27" s="12"/>
      <c r="I27" s="12"/>
      <c r="J27" s="12"/>
      <c r="K27" s="12"/>
      <c r="L27" s="12"/>
    </row>
    <row r="28" spans="1:12" x14ac:dyDescent="0.35">
      <c r="A28" t="s">
        <v>42</v>
      </c>
      <c r="B28" t="s">
        <v>66</v>
      </c>
      <c r="C28" t="s">
        <v>69</v>
      </c>
      <c r="D28" s="10">
        <v>14</v>
      </c>
      <c r="E28" s="10">
        <v>87</v>
      </c>
      <c r="F28" s="11">
        <v>7</v>
      </c>
      <c r="G28" s="12"/>
      <c r="H28" s="12"/>
      <c r="I28" s="12"/>
      <c r="J28" s="12"/>
      <c r="K28" s="12"/>
      <c r="L28" s="12"/>
    </row>
    <row r="29" spans="1:12" x14ac:dyDescent="0.35">
      <c r="A29" t="s">
        <v>49</v>
      </c>
      <c r="B29" t="s">
        <v>62</v>
      </c>
      <c r="C29" t="s">
        <v>68</v>
      </c>
      <c r="D29" s="10">
        <v>14</v>
      </c>
      <c r="E29" s="10">
        <v>89</v>
      </c>
      <c r="F29" s="11">
        <v>10</v>
      </c>
      <c r="G29" s="12"/>
      <c r="H29" s="12"/>
      <c r="I29" s="12"/>
      <c r="J29" s="12"/>
      <c r="K29" s="12"/>
      <c r="L29" s="12"/>
    </row>
    <row r="30" spans="1:12" x14ac:dyDescent="0.35">
      <c r="A30" t="s">
        <v>51</v>
      </c>
      <c r="B30" t="s">
        <v>63</v>
      </c>
      <c r="C30" t="s">
        <v>69</v>
      </c>
      <c r="D30" s="10">
        <v>15</v>
      </c>
      <c r="E30" s="10">
        <v>94</v>
      </c>
      <c r="F30" s="11">
        <v>3</v>
      </c>
      <c r="G30" s="12"/>
      <c r="H30" s="12"/>
      <c r="I30" s="12"/>
      <c r="J30" s="12"/>
      <c r="K30" s="12"/>
      <c r="L30" s="12"/>
    </row>
    <row r="31" spans="1:12" x14ac:dyDescent="0.35">
      <c r="A31" t="s">
        <v>59</v>
      </c>
      <c r="B31" t="s">
        <v>65</v>
      </c>
      <c r="C31" t="s">
        <v>68</v>
      </c>
      <c r="D31" s="10">
        <v>15</v>
      </c>
      <c r="E31" s="10">
        <v>95</v>
      </c>
      <c r="F31" s="11">
        <v>7</v>
      </c>
    </row>
  </sheetData>
  <mergeCells count="2">
    <mergeCell ref="A1:L1"/>
    <mergeCell ref="A2:L2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Quiros, Virginia [JANUS]</cp:lastModifiedBy>
  <dcterms:created xsi:type="dcterms:W3CDTF">2024-12-04T18:55:38Z</dcterms:created>
  <dcterms:modified xsi:type="dcterms:W3CDTF">2026-06-24T20:16:36Z</dcterms:modified>
</cp:coreProperties>
</file>